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FB49052A-3253-417A-BA5B-DF714E9693A2}" xr6:coauthVersionLast="40" xr6:coauthVersionMax="40" xr10:uidLastSave="{00000000-0000-0000-0000-000000000000}"/>
  <bookViews>
    <workbookView xWindow="-108" yWindow="-108" windowWidth="23256" windowHeight="12720" xr2:uid="{7D585AE4-413F-4EC0-906C-C842B8344E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" l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K3" i="1" s="1"/>
  <c r="I4" i="1"/>
  <c r="H3" i="1"/>
  <c r="G3" i="1"/>
  <c r="F3" i="1"/>
</calcChain>
</file>

<file path=xl/sharedStrings.xml><?xml version="1.0" encoding="utf-8"?>
<sst xmlns="http://schemas.openxmlformats.org/spreadsheetml/2006/main" count="79" uniqueCount="75">
  <si>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</si>
  <si>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</si>
  <si>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</si>
  <si>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</si>
  <si>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</si>
  <si>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</si>
  <si>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</si>
  <si>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</si>
  <si>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</si>
  <si>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RIAU</t>
  </si>
  <si>
    <t>Pusdalops Uk. 6 m x 11 m</t>
  </si>
  <si>
    <t xml:space="preserve">Peralatan TIK </t>
  </si>
  <si>
    <t>Perangkat Display</t>
  </si>
  <si>
    <t>85" Interaktif Kolaborasi</t>
  </si>
  <si>
    <t>Infocus Mondopad INF8521</t>
  </si>
  <si>
    <t>Stand Floor</t>
  </si>
  <si>
    <t>Mobile Stand Floor 85</t>
  </si>
  <si>
    <t>Software Interaktif Board</t>
  </si>
  <si>
    <t>Infocus Big Note</t>
  </si>
  <si>
    <t>Wireless Presentasi Sistem</t>
  </si>
  <si>
    <t>Infocus Lite Show 4</t>
  </si>
  <si>
    <t>Realcam PTZ</t>
  </si>
  <si>
    <t>Infocus INF-SPTZ-2</t>
  </si>
  <si>
    <t>Radio SSB</t>
  </si>
  <si>
    <t>Radio Komunikasi</t>
  </si>
  <si>
    <t>Icom IC-718 + SWR SX 200</t>
  </si>
  <si>
    <t>Power Supply untuk Radio SSB</t>
  </si>
  <si>
    <t>Power Supply 45A</t>
  </si>
  <si>
    <t>Antenna Radio</t>
  </si>
  <si>
    <t>Kenpro KA-50 dan Coaxial Cable 20m</t>
  </si>
  <si>
    <t>Server Data</t>
  </si>
  <si>
    <t>Server</t>
  </si>
  <si>
    <t>HP Proliant DL 380G9</t>
  </si>
  <si>
    <t>Router</t>
  </si>
  <si>
    <t xml:space="preserve"> RB2011UiAS-2HnD - IN</t>
  </si>
  <si>
    <t>Swich</t>
  </si>
  <si>
    <t>TP-Link TL-SG1024</t>
  </si>
  <si>
    <t>Stabilizer</t>
  </si>
  <si>
    <t>ICA FR 5000</t>
  </si>
  <si>
    <t>Windows Server OS</t>
  </si>
  <si>
    <t>Windows Server OS 2012 R2</t>
  </si>
  <si>
    <t>UPS</t>
  </si>
  <si>
    <t>Emerson Liebert GXT3-3000RT230</t>
  </si>
  <si>
    <t>Rack 22 U</t>
  </si>
  <si>
    <t>Indorack IR 11520P</t>
  </si>
  <si>
    <t>PC</t>
  </si>
  <si>
    <t>Laptop</t>
  </si>
  <si>
    <t>GPS</t>
  </si>
  <si>
    <t>Televisi 43</t>
  </si>
  <si>
    <t>Fax Machine/Telp</t>
  </si>
  <si>
    <t>Genset</t>
  </si>
  <si>
    <t>Printer</t>
  </si>
  <si>
    <t>Frameless Glassboard</t>
  </si>
  <si>
    <t>MS Office</t>
  </si>
  <si>
    <t xml:space="preserve">AC 2 Pk Non Inverter </t>
  </si>
  <si>
    <t>AC 1 Pk Non Inverter</t>
  </si>
  <si>
    <t xml:space="preserve"> AC 1/2 Pk Non Inverter</t>
  </si>
  <si>
    <t>Ruang Operasional</t>
  </si>
  <si>
    <t xml:space="preserve">Meja Operator </t>
  </si>
  <si>
    <t>Kabinet Operator</t>
  </si>
  <si>
    <t>Credenza</t>
  </si>
  <si>
    <t xml:space="preserve">Kursi Operator </t>
  </si>
  <si>
    <t>Ruang Rapat</t>
  </si>
  <si>
    <t xml:space="preserve">Meja Rapat </t>
  </si>
  <si>
    <t>Ruangan Manager / Pimpinan</t>
  </si>
  <si>
    <t>Meja Kerja</t>
  </si>
  <si>
    <t>Meja Samping</t>
  </si>
  <si>
    <t xml:space="preserve">Kursi Manager </t>
  </si>
  <si>
    <t xml:space="preserve">kursi hadap </t>
  </si>
  <si>
    <t xml:space="preserve">Credenza </t>
  </si>
  <si>
    <t>Ruangan Server</t>
  </si>
  <si>
    <t>Ruangan Tamu</t>
  </si>
  <si>
    <t xml:space="preserve">Meja Tamu </t>
  </si>
  <si>
    <t>Sofa 1 site</t>
  </si>
  <si>
    <t>Sofa 2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</si>
</sst>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/>
    <xf numFmtId="164" fontId="0" fillId="0" borderId="5" xfId="1" applyNumberFormat="1" applyFont="1" applyBorder="1" applyAlignment="1">
      <alignment horizontal="center" vertical="center"/>
    </xf>
    <xf numFmtId="164" fontId="5" fillId="0" borderId="4" xfId="1" applyNumberFormat="1" applyFont="1" applyBorder="1"/>
    <xf numFmtId="0" fontId="0" fillId="0" borderId="4" xfId="0" applyBorder="1" applyAlignment="1">
      <alignment horizontal="justify" vertical="center"/>
    </xf>
    <xf numFmtId="164" fontId="0" fillId="0" borderId="4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0D4B-040A-4FEC-8E4E-D834C2344E48}">
  <dimension ref="A1:K57"/>
  <sheetViews>
    <sheetView tabSelected="1" workbookViewId="0">
      <selection activeCell="P9" sqref="P9"/>
    </sheetView>
  </sheetViews>
  <sheetFormatPr defaultRowHeight="14.4" x14ac:dyDescent="0.3"/>
  <cols>
    <col min="2" max="2" width="11.6640625" bestFit="1" customWidth="1"/>
    <col min="4" max="4" width="25.77734375" bestFit="1" customWidth="1"/>
    <col min="5" max="5" width="29.109375" bestFit="1" customWidth="1"/>
    <col min="7" max="7" width="10.6640625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SUM(F4:F57)</f>
        <v>68</v>
      </c>
      <c r="G3" s="7">
        <f>G4</f>
        <v>2017</v>
      </c>
      <c r="H3" s="8">
        <f>SUM(H4:H57)</f>
        <v>2270864396</v>
      </c>
      <c r="I3" s="9">
        <f>SUM(I4:I57)</f>
        <v>2543394707</v>
      </c>
      <c r="J3" s="10"/>
      <c r="K3" s="11">
        <f>I3</f>
        <v>2543394707</v>
      </c>
    </row>
    <row r="4" spans="1:11" x14ac:dyDescent="0.3">
      <c r="A4" s="12">
        <v>1</v>
      </c>
      <c r="B4" s="13"/>
      <c r="C4" s="13"/>
      <c r="D4" s="13" t="s">
        <v>10</v>
      </c>
      <c r="E4" s="13"/>
      <c r="F4" s="14">
        <v>1</v>
      </c>
      <c r="G4" s="15">
        <v>2017</v>
      </c>
      <c r="H4" s="16">
        <v>631705910</v>
      </c>
      <c r="I4" s="17">
        <f>H4*F4</f>
        <v>631705910</v>
      </c>
    </row>
    <row r="5" spans="1:11" x14ac:dyDescent="0.3">
      <c r="A5" s="12">
        <v>2</v>
      </c>
      <c r="B5" s="13"/>
      <c r="C5" s="13"/>
      <c r="D5" s="13" t="s">
        <v>11</v>
      </c>
      <c r="E5" s="13"/>
      <c r="F5" s="14">
        <v>1</v>
      </c>
      <c r="G5" s="15">
        <v>2017</v>
      </c>
      <c r="H5" s="18">
        <v>1058522308</v>
      </c>
      <c r="I5" s="17">
        <f>H5*F5</f>
        <v>1058522308</v>
      </c>
    </row>
    <row r="6" spans="1:11" x14ac:dyDescent="0.3">
      <c r="A6" s="12">
        <v>3</v>
      </c>
      <c r="B6" s="13"/>
      <c r="C6" s="13"/>
      <c r="D6" s="13" t="s">
        <v>12</v>
      </c>
      <c r="E6" s="13"/>
      <c r="F6" s="14"/>
      <c r="G6" s="15">
        <v>2017</v>
      </c>
      <c r="H6" s="18"/>
      <c r="I6" s="17">
        <f>H6*F6</f>
        <v>0</v>
      </c>
    </row>
    <row r="7" spans="1:11" ht="57.6" x14ac:dyDescent="0.3">
      <c r="A7" s="12">
        <v>4</v>
      </c>
      <c r="B7" s="13"/>
      <c r="C7" s="13"/>
      <c r="D7" s="13" t="s">
        <v>13</v>
      </c>
      <c r="E7" s="19" t="s">
        <v>14</v>
      </c>
      <c r="F7" s="14"/>
      <c r="G7" s="15">
        <v>2017</v>
      </c>
      <c r="H7" s="18"/>
      <c r="I7" s="17">
        <f>H7*F7</f>
        <v>0</v>
      </c>
    </row>
    <row r="8" spans="1:11" x14ac:dyDescent="0.3">
      <c r="A8" s="12">
        <v>5</v>
      </c>
      <c r="B8" s="13"/>
      <c r="C8" s="13"/>
      <c r="D8" s="13" t="s">
        <v>15</v>
      </c>
      <c r="E8" s="13" t="s">
        <v>16</v>
      </c>
      <c r="F8" s="14"/>
      <c r="G8" s="15">
        <v>2017</v>
      </c>
      <c r="H8" s="18"/>
      <c r="I8" s="17">
        <f>H8*F8</f>
        <v>0</v>
      </c>
    </row>
    <row r="9" spans="1:11" x14ac:dyDescent="0.3">
      <c r="A9" s="12">
        <v>6</v>
      </c>
      <c r="B9" s="13"/>
      <c r="C9" s="13"/>
      <c r="D9" s="13" t="s">
        <v>17</v>
      </c>
      <c r="E9" s="13" t="s">
        <v>18</v>
      </c>
      <c r="F9" s="14"/>
      <c r="G9" s="15">
        <v>2017</v>
      </c>
      <c r="H9" s="18"/>
      <c r="I9" s="17">
        <f>H9*F9</f>
        <v>0</v>
      </c>
    </row>
    <row r="10" spans="1:11" x14ac:dyDescent="0.3">
      <c r="A10" s="12">
        <v>7</v>
      </c>
      <c r="B10" s="13"/>
      <c r="C10" s="13"/>
      <c r="D10" s="13" t="s">
        <v>19</v>
      </c>
      <c r="E10" s="13" t="s">
        <v>20</v>
      </c>
      <c r="F10" s="14"/>
      <c r="G10" s="15">
        <v>2017</v>
      </c>
      <c r="H10" s="18"/>
      <c r="I10" s="17">
        <f>H10*F10</f>
        <v>0</v>
      </c>
    </row>
    <row r="11" spans="1:11" x14ac:dyDescent="0.3">
      <c r="A11" s="12">
        <v>8</v>
      </c>
      <c r="B11" s="13"/>
      <c r="C11" s="13"/>
      <c r="D11" s="13" t="s">
        <v>21</v>
      </c>
      <c r="E11" s="13" t="s">
        <v>22</v>
      </c>
      <c r="F11" s="14"/>
      <c r="G11" s="15">
        <v>2017</v>
      </c>
      <c r="H11" s="18"/>
      <c r="I11" s="17">
        <f>H11*F11</f>
        <v>0</v>
      </c>
    </row>
    <row r="12" spans="1:11" x14ac:dyDescent="0.3">
      <c r="A12" s="12">
        <v>9</v>
      </c>
      <c r="B12" s="13"/>
      <c r="C12" s="13"/>
      <c r="D12" s="13" t="s">
        <v>23</v>
      </c>
      <c r="E12" s="13"/>
      <c r="F12" s="14">
        <v>1</v>
      </c>
      <c r="G12" s="15">
        <v>2017</v>
      </c>
      <c r="H12" s="16">
        <v>24473807</v>
      </c>
      <c r="I12" s="17">
        <f>H12*F12</f>
        <v>24473807</v>
      </c>
    </row>
    <row r="13" spans="1:11" ht="57.6" x14ac:dyDescent="0.3">
      <c r="A13" s="12">
        <v>10</v>
      </c>
      <c r="B13" s="13"/>
      <c r="C13" s="13"/>
      <c r="D13" s="13" t="s">
        <v>24</v>
      </c>
      <c r="E13" s="19" t="s">
        <v>25</v>
      </c>
      <c r="F13" s="14"/>
      <c r="G13" s="15">
        <v>2017</v>
      </c>
      <c r="H13" s="18"/>
      <c r="I13" s="17">
        <f>H13*F13</f>
        <v>0</v>
      </c>
    </row>
    <row r="14" spans="1:11" ht="43.2" x14ac:dyDescent="0.3">
      <c r="A14" s="12">
        <v>11</v>
      </c>
      <c r="B14" s="13"/>
      <c r="C14" s="13"/>
      <c r="D14" s="13" t="s">
        <v>26</v>
      </c>
      <c r="E14" s="19" t="s">
        <v>27</v>
      </c>
      <c r="F14" s="14"/>
      <c r="G14" s="15">
        <v>2017</v>
      </c>
      <c r="H14" s="18"/>
      <c r="I14" s="17">
        <f>H14*F14</f>
        <v>0</v>
      </c>
    </row>
    <row r="15" spans="1:11" ht="86.4" x14ac:dyDescent="0.3">
      <c r="A15" s="12">
        <v>12</v>
      </c>
      <c r="B15" s="13"/>
      <c r="C15" s="13"/>
      <c r="D15" s="13" t="s">
        <v>28</v>
      </c>
      <c r="E15" s="19" t="s">
        <v>29</v>
      </c>
      <c r="F15" s="14"/>
      <c r="G15" s="15">
        <v>2017</v>
      </c>
      <c r="H15" s="18"/>
      <c r="I15" s="17">
        <f>H15*F15</f>
        <v>0</v>
      </c>
    </row>
    <row r="16" spans="1:11" x14ac:dyDescent="0.3">
      <c r="A16" s="12">
        <v>13</v>
      </c>
      <c r="B16" s="13"/>
      <c r="C16" s="13"/>
      <c r="D16" s="13" t="s">
        <v>30</v>
      </c>
      <c r="E16" s="13"/>
      <c r="F16" s="14">
        <v>1</v>
      </c>
      <c r="G16" s="15">
        <v>2017</v>
      </c>
      <c r="H16" s="18">
        <v>280026169</v>
      </c>
      <c r="I16" s="17">
        <f>H16*F16</f>
        <v>280026169</v>
      </c>
    </row>
    <row r="17" spans="1:9" ht="43.2" x14ac:dyDescent="0.3">
      <c r="A17" s="12">
        <v>14</v>
      </c>
      <c r="B17" s="13"/>
      <c r="C17" s="13"/>
      <c r="D17" s="13" t="s">
        <v>31</v>
      </c>
      <c r="E17" s="19" t="s">
        <v>32</v>
      </c>
      <c r="F17" s="14"/>
      <c r="G17" s="15">
        <v>2017</v>
      </c>
      <c r="H17" s="18"/>
      <c r="I17" s="17">
        <f>H17*F17</f>
        <v>0</v>
      </c>
    </row>
    <row r="18" spans="1:9" x14ac:dyDescent="0.3">
      <c r="A18" s="12">
        <v>15</v>
      </c>
      <c r="B18" s="13"/>
      <c r="C18" s="13"/>
      <c r="D18" s="13" t="s">
        <v>33</v>
      </c>
      <c r="E18" s="13" t="s">
        <v>34</v>
      </c>
      <c r="F18" s="14"/>
      <c r="G18" s="15">
        <v>2017</v>
      </c>
      <c r="H18" s="18"/>
      <c r="I18" s="17">
        <f>H18*F18</f>
        <v>0</v>
      </c>
    </row>
    <row r="19" spans="1:9" ht="43.2" x14ac:dyDescent="0.3">
      <c r="A19" s="12">
        <v>16</v>
      </c>
      <c r="B19" s="13"/>
      <c r="C19" s="13"/>
      <c r="D19" s="13" t="s">
        <v>35</v>
      </c>
      <c r="E19" s="19" t="s">
        <v>36</v>
      </c>
      <c r="F19" s="14"/>
      <c r="G19" s="15">
        <v>2017</v>
      </c>
      <c r="H19" s="18"/>
      <c r="I19" s="17">
        <f>H19*F19</f>
        <v>0</v>
      </c>
    </row>
    <row r="20" spans="1:9" x14ac:dyDescent="0.3">
      <c r="A20" s="12">
        <v>17</v>
      </c>
      <c r="B20" s="13"/>
      <c r="C20" s="13"/>
      <c r="D20" s="13" t="s">
        <v>37</v>
      </c>
      <c r="E20" s="13" t="s">
        <v>38</v>
      </c>
      <c r="F20" s="14"/>
      <c r="G20" s="15">
        <v>2017</v>
      </c>
      <c r="H20" s="18"/>
      <c r="I20" s="17">
        <f>H20*F20</f>
        <v>0</v>
      </c>
    </row>
    <row r="21" spans="1:9" x14ac:dyDescent="0.3">
      <c r="A21" s="12">
        <v>18</v>
      </c>
      <c r="B21" s="13"/>
      <c r="C21" s="13"/>
      <c r="D21" s="13" t="s">
        <v>39</v>
      </c>
      <c r="E21" s="13" t="s">
        <v>40</v>
      </c>
      <c r="F21" s="14"/>
      <c r="G21" s="15">
        <v>2017</v>
      </c>
      <c r="H21" s="18"/>
      <c r="I21" s="17">
        <f>H21*F21</f>
        <v>0</v>
      </c>
    </row>
    <row r="22" spans="1:9" x14ac:dyDescent="0.3">
      <c r="A22" s="12">
        <v>19</v>
      </c>
      <c r="B22" s="13"/>
      <c r="C22" s="13"/>
      <c r="D22" s="13" t="s">
        <v>41</v>
      </c>
      <c r="E22" s="13" t="s">
        <v>42</v>
      </c>
      <c r="F22" s="14"/>
      <c r="G22" s="15">
        <v>2017</v>
      </c>
      <c r="H22" s="18"/>
      <c r="I22" s="17">
        <f>H22*F22</f>
        <v>0</v>
      </c>
    </row>
    <row r="23" spans="1:9" x14ac:dyDescent="0.3">
      <c r="A23" s="12">
        <v>20</v>
      </c>
      <c r="B23" s="13"/>
      <c r="C23" s="13"/>
      <c r="D23" s="13" t="s">
        <v>43</v>
      </c>
      <c r="E23" s="13" t="s">
        <v>44</v>
      </c>
      <c r="F23" s="14"/>
      <c r="G23" s="15">
        <v>2017</v>
      </c>
      <c r="H23" s="18"/>
      <c r="I23" s="17">
        <f>H23*F23</f>
        <v>0</v>
      </c>
    </row>
    <row r="24" spans="1:9" x14ac:dyDescent="0.3">
      <c r="A24" s="12">
        <v>21</v>
      </c>
      <c r="B24" s="13"/>
      <c r="C24" s="13"/>
      <c r="D24" s="13" t="s">
        <v>45</v>
      </c>
      <c r="E24" s="13"/>
      <c r="F24" s="14">
        <v>4</v>
      </c>
      <c r="G24" s="15">
        <v>2017</v>
      </c>
      <c r="H24" s="18">
        <v>20562821</v>
      </c>
      <c r="I24" s="17">
        <f>H24*F24</f>
        <v>82251284</v>
      </c>
    </row>
    <row r="25" spans="1:9" x14ac:dyDescent="0.3">
      <c r="A25" s="12">
        <v>22</v>
      </c>
      <c r="B25" s="13"/>
      <c r="C25" s="13"/>
      <c r="D25" s="13" t="s">
        <v>46</v>
      </c>
      <c r="E25" s="13"/>
      <c r="F25" s="14">
        <v>2</v>
      </c>
      <c r="G25" s="15">
        <v>2017</v>
      </c>
      <c r="H25" s="18">
        <v>9618327</v>
      </c>
      <c r="I25" s="17">
        <f>H25*F25</f>
        <v>19236654</v>
      </c>
    </row>
    <row r="26" spans="1:9" x14ac:dyDescent="0.3">
      <c r="A26" s="12">
        <v>23</v>
      </c>
      <c r="B26" s="13"/>
      <c r="C26" s="13"/>
      <c r="D26" s="13" t="s">
        <v>47</v>
      </c>
      <c r="E26" s="13"/>
      <c r="F26" s="14">
        <v>2</v>
      </c>
      <c r="G26" s="15">
        <v>2017</v>
      </c>
      <c r="H26" s="18">
        <v>7233638</v>
      </c>
      <c r="I26" s="17">
        <f>H26*F26</f>
        <v>14467276</v>
      </c>
    </row>
    <row r="27" spans="1:9" x14ac:dyDescent="0.3">
      <c r="A27" s="12">
        <v>24</v>
      </c>
      <c r="B27" s="13"/>
      <c r="C27" s="13"/>
      <c r="D27" s="13" t="s">
        <v>48</v>
      </c>
      <c r="E27" s="13"/>
      <c r="F27" s="14">
        <v>1</v>
      </c>
      <c r="G27" s="15">
        <v>2017</v>
      </c>
      <c r="H27" s="18">
        <v>9524290</v>
      </c>
      <c r="I27" s="17">
        <f>H27*F27</f>
        <v>9524290</v>
      </c>
    </row>
    <row r="28" spans="1:9" x14ac:dyDescent="0.3">
      <c r="A28" s="12">
        <v>25</v>
      </c>
      <c r="B28" s="13"/>
      <c r="C28" s="13"/>
      <c r="D28" s="13" t="s">
        <v>49</v>
      </c>
      <c r="E28" s="13"/>
      <c r="F28" s="14">
        <v>1</v>
      </c>
      <c r="G28" s="15">
        <v>2017</v>
      </c>
      <c r="H28" s="18">
        <v>5184107</v>
      </c>
      <c r="I28" s="17">
        <f>H28*F28</f>
        <v>5184107</v>
      </c>
    </row>
    <row r="29" spans="1:9" x14ac:dyDescent="0.3">
      <c r="A29" s="12">
        <v>26</v>
      </c>
      <c r="B29" s="13"/>
      <c r="C29" s="13"/>
      <c r="D29" s="13" t="s">
        <v>50</v>
      </c>
      <c r="E29" s="13"/>
      <c r="F29" s="14">
        <v>1</v>
      </c>
      <c r="G29" s="15">
        <v>2017</v>
      </c>
      <c r="H29" s="18">
        <v>26523338</v>
      </c>
      <c r="I29" s="17">
        <f>H29*F29</f>
        <v>26523338</v>
      </c>
    </row>
    <row r="30" spans="1:9" x14ac:dyDescent="0.3">
      <c r="A30" s="12">
        <v>27</v>
      </c>
      <c r="B30" s="13"/>
      <c r="C30" s="13"/>
      <c r="D30" s="13" t="s">
        <v>51</v>
      </c>
      <c r="E30" s="13"/>
      <c r="F30" s="14">
        <v>1</v>
      </c>
      <c r="G30" s="15">
        <v>2017</v>
      </c>
      <c r="H30" s="18">
        <v>6630835</v>
      </c>
      <c r="I30" s="17">
        <f>H30*F30</f>
        <v>6630835</v>
      </c>
    </row>
    <row r="31" spans="1:9" x14ac:dyDescent="0.3">
      <c r="A31" s="12">
        <v>28</v>
      </c>
      <c r="B31" s="13"/>
      <c r="C31" s="13"/>
      <c r="D31" s="13" t="s">
        <v>41</v>
      </c>
      <c r="E31" s="13"/>
      <c r="F31" s="14">
        <v>1</v>
      </c>
      <c r="G31" s="15">
        <v>2017</v>
      </c>
      <c r="H31" s="18">
        <v>3315417</v>
      </c>
      <c r="I31" s="17">
        <f>H31*F31</f>
        <v>3315417</v>
      </c>
    </row>
    <row r="32" spans="1:9" x14ac:dyDescent="0.3">
      <c r="A32" s="12">
        <v>29</v>
      </c>
      <c r="B32" s="13"/>
      <c r="C32" s="13"/>
      <c r="D32" s="13" t="s">
        <v>52</v>
      </c>
      <c r="E32" s="13"/>
      <c r="F32" s="14">
        <v>1</v>
      </c>
      <c r="G32" s="15">
        <v>2017</v>
      </c>
      <c r="H32" s="18">
        <v>5425228</v>
      </c>
      <c r="I32" s="17">
        <f>H32*F32</f>
        <v>5425228</v>
      </c>
    </row>
    <row r="33" spans="1:9" x14ac:dyDescent="0.3">
      <c r="A33" s="12">
        <v>30</v>
      </c>
      <c r="B33" s="13"/>
      <c r="C33" s="13"/>
      <c r="D33" s="13" t="s">
        <v>53</v>
      </c>
      <c r="E33" s="13"/>
      <c r="F33" s="14">
        <v>6</v>
      </c>
      <c r="G33" s="15">
        <v>2017</v>
      </c>
      <c r="H33" s="18">
        <v>5666349</v>
      </c>
      <c r="I33" s="17">
        <f>H33*F33</f>
        <v>33998094</v>
      </c>
    </row>
    <row r="34" spans="1:9" x14ac:dyDescent="0.3">
      <c r="A34" s="12">
        <v>31</v>
      </c>
      <c r="B34" s="13"/>
      <c r="C34" s="13"/>
      <c r="D34" s="13" t="s">
        <v>54</v>
      </c>
      <c r="E34" s="13"/>
      <c r="F34" s="14">
        <v>2</v>
      </c>
      <c r="G34" s="15">
        <v>2017</v>
      </c>
      <c r="H34" s="18">
        <v>12265414</v>
      </c>
      <c r="I34" s="17">
        <f>H34*F34</f>
        <v>24530828</v>
      </c>
    </row>
    <row r="35" spans="1:9" x14ac:dyDescent="0.3">
      <c r="A35" s="12">
        <v>32</v>
      </c>
      <c r="B35" s="13"/>
      <c r="C35" s="13"/>
      <c r="D35" s="13" t="s">
        <v>55</v>
      </c>
      <c r="E35" s="13"/>
      <c r="F35" s="14">
        <v>2</v>
      </c>
      <c r="G35" s="15">
        <v>2017</v>
      </c>
      <c r="H35" s="18">
        <v>9077334</v>
      </c>
      <c r="I35" s="17">
        <f>H35*F35</f>
        <v>18154668</v>
      </c>
    </row>
    <row r="36" spans="1:9" x14ac:dyDescent="0.3">
      <c r="A36" s="12">
        <v>33</v>
      </c>
      <c r="B36" s="13"/>
      <c r="C36" s="13"/>
      <c r="D36" s="13" t="s">
        <v>56</v>
      </c>
      <c r="E36" s="13"/>
      <c r="F36" s="14">
        <v>1</v>
      </c>
      <c r="G36" s="15">
        <v>2017</v>
      </c>
      <c r="H36" s="18">
        <v>10062740</v>
      </c>
      <c r="I36" s="17">
        <f>H36*F36</f>
        <v>10062740</v>
      </c>
    </row>
    <row r="37" spans="1:9" x14ac:dyDescent="0.3">
      <c r="A37" s="12">
        <v>34</v>
      </c>
      <c r="B37" s="13"/>
      <c r="C37" s="13"/>
      <c r="D37" s="13" t="s">
        <v>57</v>
      </c>
      <c r="E37" s="13"/>
      <c r="F37" s="14"/>
      <c r="G37" s="15">
        <v>2017</v>
      </c>
      <c r="H37" s="18"/>
      <c r="I37" s="17">
        <f>H37*F37</f>
        <v>0</v>
      </c>
    </row>
    <row r="38" spans="1:9" x14ac:dyDescent="0.3">
      <c r="A38" s="12">
        <v>35</v>
      </c>
      <c r="B38" s="13"/>
      <c r="C38" s="13"/>
      <c r="D38" s="13" t="s">
        <v>58</v>
      </c>
      <c r="E38" s="13"/>
      <c r="F38" s="14">
        <v>6</v>
      </c>
      <c r="G38" s="15">
        <v>2017</v>
      </c>
      <c r="H38" s="18">
        <v>10532566</v>
      </c>
      <c r="I38" s="17">
        <v>62115394</v>
      </c>
    </row>
    <row r="39" spans="1:9" x14ac:dyDescent="0.3">
      <c r="A39" s="12">
        <v>36</v>
      </c>
      <c r="B39" s="13"/>
      <c r="C39" s="13"/>
      <c r="D39" s="13" t="s">
        <v>59</v>
      </c>
      <c r="E39" s="13"/>
      <c r="F39" s="14">
        <v>6</v>
      </c>
      <c r="G39" s="15">
        <v>2017</v>
      </c>
      <c r="H39" s="18">
        <v>5970405</v>
      </c>
      <c r="I39" s="17">
        <f>H39*F39</f>
        <v>35822430</v>
      </c>
    </row>
    <row r="40" spans="1:9" x14ac:dyDescent="0.3">
      <c r="A40" s="12">
        <v>37</v>
      </c>
      <c r="B40" s="13"/>
      <c r="C40" s="13"/>
      <c r="D40" s="13" t="s">
        <v>60</v>
      </c>
      <c r="E40" s="13"/>
      <c r="F40" s="14">
        <v>1</v>
      </c>
      <c r="G40" s="15">
        <v>2017</v>
      </c>
      <c r="H40" s="18">
        <v>10352566</v>
      </c>
      <c r="I40" s="17">
        <f>H40*F40</f>
        <v>10352566</v>
      </c>
    </row>
    <row r="41" spans="1:9" x14ac:dyDescent="0.3">
      <c r="A41" s="12">
        <v>38</v>
      </c>
      <c r="B41" s="13"/>
      <c r="C41" s="13"/>
      <c r="D41" s="13" t="s">
        <v>61</v>
      </c>
      <c r="E41" s="13"/>
      <c r="F41" s="14">
        <v>6</v>
      </c>
      <c r="G41" s="15">
        <v>2017</v>
      </c>
      <c r="H41" s="18">
        <v>4776324</v>
      </c>
      <c r="I41" s="17">
        <f>H41*F41</f>
        <v>28657944</v>
      </c>
    </row>
    <row r="42" spans="1:9" x14ac:dyDescent="0.3">
      <c r="A42" s="12">
        <v>39</v>
      </c>
      <c r="B42" s="13"/>
      <c r="C42" s="13"/>
      <c r="D42" s="13" t="s">
        <v>62</v>
      </c>
      <c r="E42" s="13"/>
      <c r="F42" s="14"/>
      <c r="G42" s="15">
        <v>2017</v>
      </c>
      <c r="H42" s="16"/>
      <c r="I42" s="17">
        <f>H42*F42</f>
        <v>0</v>
      </c>
    </row>
    <row r="43" spans="1:9" x14ac:dyDescent="0.3">
      <c r="A43" s="12">
        <v>40</v>
      </c>
      <c r="B43" s="13"/>
      <c r="C43" s="13"/>
      <c r="D43" s="13" t="s">
        <v>63</v>
      </c>
      <c r="E43" s="13"/>
      <c r="F43" s="14">
        <v>1</v>
      </c>
      <c r="G43" s="15">
        <v>2017</v>
      </c>
      <c r="H43" s="16">
        <v>22026736</v>
      </c>
      <c r="I43" s="17">
        <f>H43*F43</f>
        <v>22026736</v>
      </c>
    </row>
    <row r="44" spans="1:9" x14ac:dyDescent="0.3">
      <c r="A44" s="12">
        <v>41</v>
      </c>
      <c r="B44" s="13"/>
      <c r="C44" s="13"/>
      <c r="D44" s="13" t="s">
        <v>61</v>
      </c>
      <c r="E44" s="13"/>
      <c r="F44" s="14">
        <v>8</v>
      </c>
      <c r="G44" s="15">
        <v>2017</v>
      </c>
      <c r="H44" s="16">
        <v>4776324</v>
      </c>
      <c r="I44" s="17">
        <f>H44*F44</f>
        <v>38210592</v>
      </c>
    </row>
    <row r="45" spans="1:9" x14ac:dyDescent="0.3">
      <c r="A45" s="12">
        <v>42</v>
      </c>
      <c r="B45" s="13"/>
      <c r="C45" s="13"/>
      <c r="D45" s="13" t="s">
        <v>64</v>
      </c>
      <c r="E45" s="13"/>
      <c r="F45" s="14"/>
      <c r="G45" s="15">
        <v>2017</v>
      </c>
      <c r="H45" s="16"/>
      <c r="I45" s="17">
        <f>H45*F45</f>
        <v>0</v>
      </c>
    </row>
    <row r="46" spans="1:9" x14ac:dyDescent="0.3">
      <c r="A46" s="12">
        <v>43</v>
      </c>
      <c r="B46" s="13"/>
      <c r="C46" s="13"/>
      <c r="D46" s="13" t="s">
        <v>65</v>
      </c>
      <c r="E46" s="13"/>
      <c r="F46" s="14">
        <v>1</v>
      </c>
      <c r="G46" s="15">
        <v>2017</v>
      </c>
      <c r="H46" s="16">
        <v>11940809</v>
      </c>
      <c r="I46" s="17">
        <f>H46*F46</f>
        <v>11940809</v>
      </c>
    </row>
    <row r="47" spans="1:9" x14ac:dyDescent="0.3">
      <c r="A47" s="12">
        <v>44</v>
      </c>
      <c r="B47" s="13"/>
      <c r="C47" s="13"/>
      <c r="D47" s="13" t="s">
        <v>66</v>
      </c>
      <c r="E47" s="13"/>
      <c r="F47" s="14">
        <v>1</v>
      </c>
      <c r="G47" s="15">
        <v>2017</v>
      </c>
      <c r="H47" s="16">
        <v>7883253</v>
      </c>
      <c r="I47" s="17">
        <f>H47*F47</f>
        <v>7883253</v>
      </c>
    </row>
    <row r="48" spans="1:9" x14ac:dyDescent="0.3">
      <c r="A48" s="12">
        <v>45</v>
      </c>
      <c r="B48" s="13"/>
      <c r="C48" s="13"/>
      <c r="D48" s="13" t="s">
        <v>67</v>
      </c>
      <c r="E48" s="13"/>
      <c r="F48" s="14">
        <v>1</v>
      </c>
      <c r="G48" s="15">
        <v>2017</v>
      </c>
      <c r="H48" s="16">
        <v>6376160</v>
      </c>
      <c r="I48" s="17">
        <f>H48*F48</f>
        <v>6376160</v>
      </c>
    </row>
    <row r="49" spans="1:9" x14ac:dyDescent="0.3">
      <c r="A49" s="12">
        <v>46</v>
      </c>
      <c r="B49" s="13"/>
      <c r="C49" s="13"/>
      <c r="D49" s="13" t="s">
        <v>68</v>
      </c>
      <c r="E49" s="13"/>
      <c r="F49" s="14">
        <v>2</v>
      </c>
      <c r="G49" s="15">
        <v>2017</v>
      </c>
      <c r="H49" s="16">
        <v>5564649</v>
      </c>
      <c r="I49" s="17">
        <f>H49*F49</f>
        <v>11129298</v>
      </c>
    </row>
    <row r="50" spans="1:9" x14ac:dyDescent="0.3">
      <c r="A50" s="12">
        <v>47</v>
      </c>
      <c r="B50" s="13"/>
      <c r="C50" s="13"/>
      <c r="D50" s="13" t="s">
        <v>69</v>
      </c>
      <c r="E50" s="13"/>
      <c r="F50" s="14">
        <v>1</v>
      </c>
      <c r="G50" s="15">
        <v>2017</v>
      </c>
      <c r="H50" s="16">
        <v>10352566</v>
      </c>
      <c r="I50" s="17">
        <f>H50*F50</f>
        <v>10352566</v>
      </c>
    </row>
    <row r="51" spans="1:9" x14ac:dyDescent="0.3">
      <c r="A51" s="12">
        <v>48</v>
      </c>
      <c r="B51" s="13"/>
      <c r="C51" s="13"/>
      <c r="D51" s="13" t="s">
        <v>70</v>
      </c>
      <c r="E51" s="13"/>
      <c r="F51" s="14"/>
      <c r="G51" s="15">
        <v>2017</v>
      </c>
      <c r="H51" s="20"/>
      <c r="I51" s="17">
        <f>H51*F51</f>
        <v>0</v>
      </c>
    </row>
    <row r="52" spans="1:9" x14ac:dyDescent="0.3">
      <c r="A52" s="12">
        <v>49</v>
      </c>
      <c r="B52" s="13"/>
      <c r="C52" s="13"/>
      <c r="D52" s="13" t="s">
        <v>58</v>
      </c>
      <c r="E52" s="13"/>
      <c r="F52" s="14">
        <v>1</v>
      </c>
      <c r="G52" s="15">
        <v>2017</v>
      </c>
      <c r="H52" s="16">
        <v>10352566</v>
      </c>
      <c r="I52" s="17">
        <f>H52*F52</f>
        <v>10352566</v>
      </c>
    </row>
    <row r="53" spans="1:9" x14ac:dyDescent="0.3">
      <c r="A53" s="12">
        <v>50</v>
      </c>
      <c r="B53" s="13"/>
      <c r="C53" s="13"/>
      <c r="D53" s="13" t="s">
        <v>61</v>
      </c>
      <c r="E53" s="13"/>
      <c r="F53" s="14">
        <v>1</v>
      </c>
      <c r="G53" s="15">
        <v>2017</v>
      </c>
      <c r="H53" s="16">
        <v>4776324</v>
      </c>
      <c r="I53" s="17">
        <f>H53*F53</f>
        <v>4776324</v>
      </c>
    </row>
    <row r="54" spans="1:9" x14ac:dyDescent="0.3">
      <c r="A54" s="12">
        <v>51</v>
      </c>
      <c r="B54" s="13"/>
      <c r="C54" s="13"/>
      <c r="D54" s="13" t="s">
        <v>71</v>
      </c>
      <c r="E54" s="13"/>
      <c r="F54" s="15"/>
      <c r="G54" s="15">
        <v>2017</v>
      </c>
      <c r="H54" s="16"/>
      <c r="I54" s="17">
        <f>H54*F54</f>
        <v>0</v>
      </c>
    </row>
    <row r="55" spans="1:9" x14ac:dyDescent="0.3">
      <c r="A55" s="12">
        <v>52</v>
      </c>
      <c r="B55" s="13"/>
      <c r="C55" s="13"/>
      <c r="D55" s="13" t="s">
        <v>72</v>
      </c>
      <c r="E55" s="13"/>
      <c r="F55" s="15">
        <v>1</v>
      </c>
      <c r="G55" s="15">
        <v>2017</v>
      </c>
      <c r="H55" s="20">
        <v>4405347</v>
      </c>
      <c r="I55" s="17">
        <f>H55*F55</f>
        <v>4405347</v>
      </c>
    </row>
    <row r="56" spans="1:9" x14ac:dyDescent="0.3">
      <c r="A56" s="12">
        <v>53</v>
      </c>
      <c r="B56" s="13"/>
      <c r="C56" s="13"/>
      <c r="D56" s="13" t="s">
        <v>73</v>
      </c>
      <c r="E56" s="13"/>
      <c r="F56" s="15">
        <v>1</v>
      </c>
      <c r="G56" s="15">
        <v>2017</v>
      </c>
      <c r="H56" s="20">
        <v>9193264</v>
      </c>
      <c r="I56" s="17">
        <f>H56*F56</f>
        <v>9193264</v>
      </c>
    </row>
    <row r="57" spans="1:9" x14ac:dyDescent="0.3">
      <c r="A57" s="12">
        <v>54</v>
      </c>
      <c r="B57" s="13"/>
      <c r="C57" s="13"/>
      <c r="D57" s="13" t="s">
        <v>74</v>
      </c>
      <c r="E57" s="13"/>
      <c r="F57" s="15">
        <v>1</v>
      </c>
      <c r="G57" s="15">
        <v>2017</v>
      </c>
      <c r="H57" s="20">
        <v>15766505</v>
      </c>
      <c r="I57" s="17">
        <f>H57*F57</f>
        <v>15766505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2019-02-28T03:48:28Z</dcterms:created>
  <dcterms:modified xsi:type="dcterms:W3CDTF">2019-02-28T04:00:54Z</dcterms:modified>
</cp:coreProperties>
</file>