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63E673E5-E2F2-4AE3-A58C-BF6679543D58}" xr6:coauthVersionLast="40" xr6:coauthVersionMax="40" xr10:uidLastSave="{00000000-0000-0000-0000-000000000000}"/>
  <bookViews>
    <workbookView xWindow="-108" yWindow="-108" windowWidth="23256" windowHeight="12720" xr2:uid="{CCFD7FBA-D991-4A15-AA74-1AB51C6AEE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7" i="1"/>
  <c r="I6" i="1"/>
  <c r="I5" i="1"/>
  <c r="I4" i="1"/>
  <c r="I3" i="1" s="1"/>
  <c r="K3" i="1" s="1"/>
  <c r="H4" i="1"/>
  <c r="H3" i="1"/>
  <c r="G3" i="1"/>
  <c r="F3" i="1"/>
</calcChain>
</file>

<file path=xl/sharedStrings.xml><?xml version="1.0" encoding="utf-8"?>
<sst xmlns="http://schemas.openxmlformats.org/spreadsheetml/2006/main" count="18" uniqueCount="18">
  <si>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</si>
  <si>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</si>
  <si>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</si>
  <si>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</si>
  <si>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</si>
  <si>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</si>
  <si>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</si>
  <si>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</si>
  <si>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</si>
  <si>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BALI</t>
  </si>
  <si>
    <t>Repeater VHF</t>
  </si>
  <si>
    <t>Motorola T3000A - MTR 3000</t>
  </si>
  <si>
    <t>Shelter &amp; Mecanical Electrical</t>
  </si>
  <si>
    <t>Cabling &amp; Grounding  Kit untuk Antenna UHF dan VHF</t>
  </si>
  <si>
    <t>Antenna VHF</t>
  </si>
  <si>
    <t>KBT/TQJ - 150IIA</t>
  </si>
  <si>
    <t>Antenna  Contraoller Komob</t>
  </si>
  <si>
    <t>TCS System  &amp; Modem i Direct 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</si>
</sst>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0" fontId="4" fillId="2" borderId="0" xfId="0" applyFont="1" applyFill="1"/>
    <xf numFmtId="164" fontId="4" fillId="2" borderId="0" xfId="0" applyNumberFormat="1" applyFont="1" applyFill="1"/>
    <xf numFmtId="0" fontId="0" fillId="0" borderId="5" xfId="0" applyBorder="1" applyAlignment="1">
      <alignment horizontal="center" vertical="center"/>
    </xf>
    <xf numFmtId="0" fontId="0" fillId="0" borderId="6" xfId="0" applyBorder="1"/>
    <xf numFmtId="41" fontId="0" fillId="0" borderId="6" xfId="2" applyFont="1" applyBorder="1" applyAlignment="1">
      <alignment horizontal="left" vertical="center"/>
    </xf>
    <xf numFmtId="0" fontId="0" fillId="0" borderId="6" xfId="2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41" fontId="0" fillId="0" borderId="6" xfId="2" quotePrefix="1" applyFont="1" applyBorder="1" applyAlignment="1">
      <alignment horizontal="left" vertical="center"/>
    </xf>
    <xf numFmtId="0" fontId="0" fillId="0" borderId="6" xfId="2" quotePrefix="1" applyNumberFormat="1" applyFont="1" applyBorder="1" applyAlignment="1">
      <alignment horizontal="center" vertical="center"/>
    </xf>
    <xf numFmtId="41" fontId="0" fillId="0" borderId="6" xfId="2" quotePrefix="1" applyFont="1" applyBorder="1" applyAlignment="1">
      <alignment vertical="center" wrapText="1"/>
    </xf>
    <xf numFmtId="0" fontId="0" fillId="0" borderId="6" xfId="2" quotePrefix="1" applyNumberFormat="1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2720-2C11-42DA-B74F-D3873D1FC820}">
  <dimension ref="A1:K8"/>
  <sheetViews>
    <sheetView tabSelected="1" workbookViewId="0">
      <selection activeCell="E11" sqref="E11"/>
    </sheetView>
  </sheetViews>
  <sheetFormatPr defaultRowHeight="14.4" x14ac:dyDescent="0.3"/>
  <cols>
    <col min="2" max="2" width="11.6640625" bestFit="1" customWidth="1"/>
    <col min="4" max="4" width="26.6640625" bestFit="1" customWidth="1"/>
    <col min="5" max="5" width="29.5546875" bestFit="1" customWidth="1"/>
    <col min="8" max="9" width="13.5546875" bestFit="1" customWidth="1"/>
    <col min="11" max="11" width="1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5"/>
      <c r="C3" s="5"/>
      <c r="D3" s="5"/>
      <c r="E3" s="5"/>
      <c r="F3" s="6">
        <f>SUM(F4:F8)</f>
        <v>5</v>
      </c>
      <c r="G3" s="6">
        <f>G4</f>
        <v>2016</v>
      </c>
      <c r="H3" s="7">
        <f>SUM(H4:H8)</f>
        <v>633967776</v>
      </c>
      <c r="I3" s="8">
        <f>SUM(I4:I8)</f>
        <v>633967776</v>
      </c>
      <c r="J3" s="9"/>
      <c r="K3" s="10">
        <f>I3</f>
        <v>633967776</v>
      </c>
    </row>
    <row r="4" spans="1:11" x14ac:dyDescent="0.3">
      <c r="A4" s="11">
        <v>1</v>
      </c>
      <c r="B4" s="12"/>
      <c r="C4" s="12"/>
      <c r="D4" s="13" t="s">
        <v>10</v>
      </c>
      <c r="E4" s="13" t="s">
        <v>11</v>
      </c>
      <c r="F4" s="14">
        <v>1</v>
      </c>
      <c r="G4" s="15">
        <v>2016</v>
      </c>
      <c r="H4" s="16">
        <f>127200000+17045955</f>
        <v>144245955</v>
      </c>
      <c r="I4" s="17">
        <f>H4*F4</f>
        <v>144245955</v>
      </c>
    </row>
    <row r="5" spans="1:11" x14ac:dyDescent="0.3">
      <c r="A5" s="11">
        <v>2</v>
      </c>
      <c r="B5" s="12"/>
      <c r="C5" s="12"/>
      <c r="D5" s="18" t="s">
        <v>12</v>
      </c>
      <c r="E5" s="18"/>
      <c r="F5" s="19">
        <v>1</v>
      </c>
      <c r="G5" s="15">
        <v>2016</v>
      </c>
      <c r="H5" s="16">
        <v>199131994</v>
      </c>
      <c r="I5" s="17">
        <f>H5*F5</f>
        <v>199131994</v>
      </c>
    </row>
    <row r="6" spans="1:11" ht="115.2" x14ac:dyDescent="0.3">
      <c r="A6" s="11">
        <v>3</v>
      </c>
      <c r="B6" s="12"/>
      <c r="C6" s="12"/>
      <c r="D6" s="20" t="s">
        <v>13</v>
      </c>
      <c r="E6" s="20"/>
      <c r="F6" s="21">
        <v>1</v>
      </c>
      <c r="G6" s="15">
        <v>2016</v>
      </c>
      <c r="H6" s="16">
        <v>124740999</v>
      </c>
      <c r="I6" s="17">
        <f>H6*F6</f>
        <v>124740999</v>
      </c>
    </row>
    <row r="7" spans="1:11" x14ac:dyDescent="0.3">
      <c r="A7" s="11">
        <v>4</v>
      </c>
      <c r="B7" s="12"/>
      <c r="C7" s="12"/>
      <c r="D7" s="18" t="s">
        <v>14</v>
      </c>
      <c r="E7" s="18" t="s">
        <v>15</v>
      </c>
      <c r="F7" s="19">
        <v>1</v>
      </c>
      <c r="G7" s="15">
        <v>2016</v>
      </c>
      <c r="H7" s="16">
        <v>27216218</v>
      </c>
      <c r="I7" s="17">
        <f>H7*F7</f>
        <v>27216218</v>
      </c>
    </row>
    <row r="8" spans="1:11" x14ac:dyDescent="0.3">
      <c r="A8" s="11">
        <v>5</v>
      </c>
      <c r="B8" s="12"/>
      <c r="C8" s="12"/>
      <c r="D8" s="13" t="s">
        <v>16</v>
      </c>
      <c r="E8" s="13" t="s">
        <v>17</v>
      </c>
      <c r="F8" s="14">
        <v>1</v>
      </c>
      <c r="G8" s="15">
        <v>2016</v>
      </c>
      <c r="H8" s="16">
        <v>138632610</v>
      </c>
      <c r="I8" s="17">
        <f>H8*F8</f>
        <v>138632610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2019-02-28T02:48:13Z</dcterms:created>
  <dcterms:modified xsi:type="dcterms:W3CDTF">2019-02-28T02:51:43Z</dcterms:modified>
</cp:coreProperties>
</file>