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D6EC7B3A-707E-4402-B2E8-E54BFEA6D03C}" xr6:coauthVersionLast="40" xr6:coauthVersionMax="40" xr10:uidLastSave="{00000000-0000-0000-0000-000000000000}"/>
  <bookViews>
    <workbookView xWindow="-108" yWindow="-108" windowWidth="23256" windowHeight="12720" xr2:uid="{406B97C9-43C9-45D5-9069-DF293CCA74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H10" i="1"/>
  <c r="I10" i="1" s="1"/>
  <c r="I9" i="1"/>
  <c r="I8" i="1"/>
  <c r="I7" i="1"/>
  <c r="I6" i="1"/>
  <c r="I5" i="1"/>
  <c r="I4" i="1"/>
  <c r="I3" i="1" s="1"/>
  <c r="K3" i="1" s="1"/>
  <c r="H3" i="1"/>
  <c r="G3" i="1"/>
  <c r="F3" i="1"/>
</calcChain>
</file>

<file path=xl/sharedStrings.xml><?xml version="1.0" encoding="utf-8"?>
<sst xmlns="http://schemas.openxmlformats.org/spreadsheetml/2006/main" count="31" uniqueCount="31">
  <si>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</si>
  <si>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</si>
  <si>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</si>
  <si>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</si>
  <si>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</si>
  <si>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</si>
  <si>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</si>
  <si>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</si>
  <si>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</si>
  <si>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DI YOGYAKARTA</t>
  </si>
  <si>
    <t>Video Wall Display (2x2 @70 '')</t>
  </si>
  <si>
    <t>Mitsubishi VS-70HEF120U</t>
  </si>
  <si>
    <t>Server</t>
  </si>
  <si>
    <t>Huawei RH 2288HV3</t>
  </si>
  <si>
    <t>Storage (NAS)</t>
  </si>
  <si>
    <t>Huawei N2000 V3</t>
  </si>
  <si>
    <t>UPS</t>
  </si>
  <si>
    <t>Huawesi UPS 2000-G-6kVA</t>
  </si>
  <si>
    <t>Switch</t>
  </si>
  <si>
    <t>Huawei CE6810-24S2Q-Li</t>
  </si>
  <si>
    <t>WLAN Access Point</t>
  </si>
  <si>
    <t>Huawei AP5030DN</t>
  </si>
  <si>
    <t>PC Desktop</t>
  </si>
  <si>
    <t>HP 280 G3 Microtower PC</t>
  </si>
  <si>
    <t>Operating System Server</t>
  </si>
  <si>
    <t>Windows Server 2012 R2 Standard</t>
  </si>
  <si>
    <t>Printer</t>
  </si>
  <si>
    <t>Epson L565 Wi-Fi alt-One-One Ink Tank Printer</t>
  </si>
  <si>
    <t>Furniture Frame video wall display + jaringan LAN</t>
  </si>
  <si>
    <t>AC Split 1 PK</t>
  </si>
  <si>
    <t>Panasonic Single Split Air Conditioner CS/CU-KN9SKJ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</si>
</sst>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C984-E784-49CA-87FF-3AA52800FFD0}">
  <dimension ref="A1:K14"/>
  <sheetViews>
    <sheetView tabSelected="1" workbookViewId="0">
      <selection activeCell="O7" sqref="O7"/>
    </sheetView>
  </sheetViews>
  <sheetFormatPr defaultRowHeight="14.4" x14ac:dyDescent="0.3"/>
  <cols>
    <col min="2" max="2" width="11.6640625" bestFit="1" customWidth="1"/>
    <col min="4" max="4" width="41.44140625" bestFit="1" customWidth="1"/>
    <col min="5" max="5" width="15.6640625" customWidth="1"/>
    <col min="7" max="7" width="10.77734375" customWidth="1"/>
    <col min="8" max="9" width="15.21875" bestFit="1" customWidth="1"/>
    <col min="11" max="11" width="15.21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SUM(H4:H14)</f>
        <v>3738144960</v>
      </c>
      <c r="I3" s="9">
        <f>SUM(I4:I14)</f>
        <v>3920127750</v>
      </c>
      <c r="J3" s="10"/>
      <c r="K3" s="11">
        <f>I3</f>
        <v>3920127750</v>
      </c>
    </row>
    <row r="4" spans="1:11" ht="57.6" x14ac:dyDescent="0.3">
      <c r="A4" s="12">
        <v>1</v>
      </c>
      <c r="B4" s="13"/>
      <c r="C4" s="13"/>
      <c r="D4" s="13" t="s">
        <v>10</v>
      </c>
      <c r="E4" s="14" t="s">
        <v>11</v>
      </c>
      <c r="F4" s="15">
        <v>1</v>
      </c>
      <c r="G4" s="15">
        <v>2017</v>
      </c>
      <c r="H4" s="16">
        <v>2919126100</v>
      </c>
      <c r="I4" s="17">
        <f>H4*F4</f>
        <v>2919126100</v>
      </c>
    </row>
    <row r="5" spans="1:11" ht="43.2" x14ac:dyDescent="0.3">
      <c r="A5" s="12">
        <v>2</v>
      </c>
      <c r="B5" s="13"/>
      <c r="C5" s="13"/>
      <c r="D5" s="13" t="s">
        <v>12</v>
      </c>
      <c r="E5" s="14" t="s">
        <v>13</v>
      </c>
      <c r="F5" s="15">
        <v>1</v>
      </c>
      <c r="G5" s="15">
        <v>2017</v>
      </c>
      <c r="H5" s="16">
        <v>212638580</v>
      </c>
      <c r="I5" s="17">
        <f>H5*F5</f>
        <v>212638580</v>
      </c>
    </row>
    <row r="6" spans="1:11" ht="28.8" x14ac:dyDescent="0.3">
      <c r="A6" s="12">
        <v>3</v>
      </c>
      <c r="B6" s="13"/>
      <c r="C6" s="13"/>
      <c r="D6" s="13" t="s">
        <v>14</v>
      </c>
      <c r="E6" s="14" t="s">
        <v>15</v>
      </c>
      <c r="F6" s="15">
        <v>1</v>
      </c>
      <c r="G6" s="15">
        <v>2017</v>
      </c>
      <c r="H6" s="16">
        <v>268526940</v>
      </c>
      <c r="I6" s="17">
        <f>H6*F6</f>
        <v>268526940</v>
      </c>
    </row>
    <row r="7" spans="1:11" ht="43.2" x14ac:dyDescent="0.3">
      <c r="A7" s="12">
        <v>4</v>
      </c>
      <c r="B7" s="13"/>
      <c r="C7" s="13"/>
      <c r="D7" s="13" t="s">
        <v>16</v>
      </c>
      <c r="E7" s="14" t="s">
        <v>17</v>
      </c>
      <c r="F7" s="15">
        <v>1</v>
      </c>
      <c r="G7" s="15">
        <v>2017</v>
      </c>
      <c r="H7" s="16">
        <v>67433300</v>
      </c>
      <c r="I7" s="17">
        <f>H7*F7</f>
        <v>67433300</v>
      </c>
    </row>
    <row r="8" spans="1:11" ht="43.2" x14ac:dyDescent="0.3">
      <c r="A8" s="12">
        <v>5</v>
      </c>
      <c r="B8" s="13"/>
      <c r="C8" s="13"/>
      <c r="D8" s="13" t="s">
        <v>18</v>
      </c>
      <c r="E8" s="14" t="s">
        <v>19</v>
      </c>
      <c r="F8" s="15">
        <v>1</v>
      </c>
      <c r="G8" s="15">
        <v>2017</v>
      </c>
      <c r="H8" s="16">
        <v>129390360</v>
      </c>
      <c r="I8" s="17">
        <f>H8*F8</f>
        <v>129390360</v>
      </c>
    </row>
    <row r="9" spans="1:11" ht="43.2" x14ac:dyDescent="0.3">
      <c r="A9" s="12">
        <v>6</v>
      </c>
      <c r="B9" s="13"/>
      <c r="C9" s="13"/>
      <c r="D9" s="13" t="s">
        <v>20</v>
      </c>
      <c r="E9" s="14" t="s">
        <v>21</v>
      </c>
      <c r="F9" s="15">
        <v>1</v>
      </c>
      <c r="G9" s="15">
        <v>2017</v>
      </c>
      <c r="H9" s="16">
        <v>17413000</v>
      </c>
      <c r="I9" s="17">
        <f>H9*F9</f>
        <v>17413000</v>
      </c>
    </row>
    <row r="10" spans="1:11" ht="57.6" x14ac:dyDescent="0.3">
      <c r="A10" s="12">
        <v>7</v>
      </c>
      <c r="B10" s="13"/>
      <c r="C10" s="13"/>
      <c r="D10" s="13" t="s">
        <v>22</v>
      </c>
      <c r="E10" s="14" t="s">
        <v>23</v>
      </c>
      <c r="F10" s="15">
        <v>12</v>
      </c>
      <c r="G10" s="15">
        <v>2017</v>
      </c>
      <c r="H10" s="16">
        <f>198526680/12</f>
        <v>16543890</v>
      </c>
      <c r="I10" s="17">
        <f>H10*F10</f>
        <v>198526680</v>
      </c>
    </row>
    <row r="11" spans="1:11" ht="57.6" x14ac:dyDescent="0.3">
      <c r="A11" s="12">
        <v>8</v>
      </c>
      <c r="B11" s="13"/>
      <c r="C11" s="13"/>
      <c r="D11" s="13" t="s">
        <v>24</v>
      </c>
      <c r="E11" s="14" t="s">
        <v>25</v>
      </c>
      <c r="F11" s="15">
        <v>1</v>
      </c>
      <c r="G11" s="15">
        <v>2017</v>
      </c>
      <c r="H11" s="16">
        <v>16396380</v>
      </c>
      <c r="I11" s="17">
        <f>H11*F11</f>
        <v>16396380</v>
      </c>
    </row>
    <row r="12" spans="1:11" ht="86.4" x14ac:dyDescent="0.3">
      <c r="A12" s="12">
        <v>9</v>
      </c>
      <c r="B12" s="13"/>
      <c r="C12" s="13"/>
      <c r="D12" s="13" t="s">
        <v>26</v>
      </c>
      <c r="E12" s="14" t="s">
        <v>27</v>
      </c>
      <c r="F12" s="15">
        <v>1</v>
      </c>
      <c r="G12" s="15">
        <v>2017</v>
      </c>
      <c r="H12" s="16">
        <v>4982010</v>
      </c>
      <c r="I12" s="17">
        <f>H12*F12</f>
        <v>4982010</v>
      </c>
    </row>
    <row r="13" spans="1:11" x14ac:dyDescent="0.3">
      <c r="A13" s="12">
        <v>10</v>
      </c>
      <c r="B13" s="13"/>
      <c r="C13" s="13"/>
      <c r="D13" s="13" t="s">
        <v>28</v>
      </c>
      <c r="E13" s="14"/>
      <c r="F13" s="15">
        <v>1</v>
      </c>
      <c r="G13" s="15">
        <v>2017</v>
      </c>
      <c r="H13" s="16">
        <v>71772800</v>
      </c>
      <c r="I13" s="17">
        <f>H13*F13</f>
        <v>71772800</v>
      </c>
    </row>
    <row r="14" spans="1:11" ht="86.4" x14ac:dyDescent="0.3">
      <c r="A14" s="12">
        <v>11</v>
      </c>
      <c r="B14" s="13"/>
      <c r="C14" s="13"/>
      <c r="D14" s="13" t="s">
        <v>29</v>
      </c>
      <c r="E14" s="14" t="s">
        <v>30</v>
      </c>
      <c r="F14" s="15">
        <v>1</v>
      </c>
      <c r="G14" s="15">
        <v>2017</v>
      </c>
      <c r="H14" s="16">
        <v>13921600</v>
      </c>
      <c r="I14" s="17">
        <f>H14*F14</f>
        <v>13921600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2019-02-28T03:41:06Z</dcterms:created>
  <dcterms:modified xsi:type="dcterms:W3CDTF">2019-02-28T03:46:10Z</dcterms:modified>
</cp:coreProperties>
</file>