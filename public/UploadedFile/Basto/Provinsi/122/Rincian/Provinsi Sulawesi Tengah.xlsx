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302EF94-F6F5-4DFD-ACF5-763FAF3D5B4F}" xr6:coauthVersionLast="40" xr6:coauthVersionMax="40" xr10:uidLastSave="{00000000-0000-0000-0000-000000000000}"/>
  <bookViews>
    <workbookView xWindow="-108" yWindow="-108" windowWidth="23256" windowHeight="12720" xr2:uid="{98B30F66-23FA-405B-96B8-1064ED2DE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I9" i="1" s="1"/>
  <c r="H8" i="1"/>
  <c r="I8" i="1" s="1"/>
  <c r="H7" i="1"/>
  <c r="I7" i="1" s="1"/>
  <c r="H6" i="1"/>
  <c r="I6" i="1" s="1"/>
  <c r="I5" i="1"/>
  <c r="H4" i="1"/>
  <c r="I4" i="1" s="1"/>
  <c r="G3" i="1"/>
  <c r="F3" i="1"/>
  <c r="I3" i="1" l="1"/>
  <c r="K3" i="1" s="1"/>
  <c r="H3" i="1"/>
</calcChain>
</file>

<file path=xl/sharedStrings.xml><?xml version="1.0" encoding="utf-8"?>
<sst xmlns="http://schemas.openxmlformats.org/spreadsheetml/2006/main" count="19" uniqueCount="19">
  <si>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</si>
  <si>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</si>
  <si>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</si>
  <si>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</si>
  <si>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</si>
  <si>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</si>
  <si>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</si>
  <si>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</si>
  <si>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</si>
  <si>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SULAWESI TENGAH</t>
  </si>
  <si>
    <t>Repeater VHF</t>
  </si>
  <si>
    <t>Motorola T3000A - MTR 3000</t>
  </si>
  <si>
    <t>Tower GWT 40 Meter</t>
  </si>
  <si>
    <t>Shelter &amp; Mecanical Electrical</t>
  </si>
  <si>
    <t>Cabling &amp; Grounding  Kit untuk Antenna UHF dan VHF</t>
  </si>
  <si>
    <t>Antenna VHF</t>
  </si>
  <si>
    <t>KBT/TQJ - 150IIA</t>
  </si>
  <si>
    <t>Antenna  Contraoller Komob</t>
  </si>
  <si>
    <t>TCS System  &amp; Modem i Direct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</si>
</sst>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41" fontId="0" fillId="0" borderId="4" xfId="2" applyFont="1" applyBorder="1" applyAlignment="1">
      <alignment horizontal="left" vertical="center"/>
    </xf>
    <xf numFmtId="0" fontId="0" fillId="0" borderId="4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41" fontId="0" fillId="0" borderId="4" xfId="2" quotePrefix="1" applyFont="1" applyBorder="1" applyAlignment="1">
      <alignment horizontal="left" vertical="center"/>
    </xf>
    <xf numFmtId="0" fontId="0" fillId="0" borderId="4" xfId="2" quotePrefix="1" applyNumberFormat="1" applyFont="1" applyBorder="1" applyAlignment="1">
      <alignment horizontal="center" vertical="center"/>
    </xf>
    <xf numFmtId="41" fontId="0" fillId="0" borderId="4" xfId="2" quotePrefix="1" applyFont="1" applyBorder="1" applyAlignment="1">
      <alignment vertical="center" wrapText="1"/>
    </xf>
    <xf numFmtId="0" fontId="0" fillId="0" borderId="4" xfId="2" quotePrefix="1" applyNumberFormat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AE95-D6D2-4FB3-9894-D8B7484BE72E}">
  <dimension ref="A1:K9"/>
  <sheetViews>
    <sheetView tabSelected="1" workbookViewId="0">
      <selection activeCell="R11" sqref="R11"/>
    </sheetView>
  </sheetViews>
  <sheetFormatPr defaultRowHeight="14.4" x14ac:dyDescent="0.3"/>
  <cols>
    <col min="2" max="2" width="11.6640625" bestFit="1" customWidth="1"/>
    <col min="4" max="4" width="26.6640625" bestFit="1" customWidth="1"/>
    <col min="5" max="5" width="29.5546875" bestFit="1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SUM(F4:F9)</f>
        <v>6</v>
      </c>
      <c r="G3" s="7">
        <f>G4</f>
        <v>2016</v>
      </c>
      <c r="H3" s="8">
        <f>SUM(H4:H9)</f>
        <v>911800000</v>
      </c>
      <c r="I3" s="9">
        <f>SUM(I4:I9)</f>
        <v>911800000</v>
      </c>
      <c r="J3" s="10"/>
      <c r="K3" s="11">
        <f>I3</f>
        <v>911800000</v>
      </c>
    </row>
    <row r="4" spans="1:11" x14ac:dyDescent="0.3">
      <c r="A4" s="12">
        <v>1</v>
      </c>
      <c r="B4" s="13"/>
      <c r="C4" s="13"/>
      <c r="D4" s="14" t="s">
        <v>10</v>
      </c>
      <c r="E4" s="14" t="s">
        <v>11</v>
      </c>
      <c r="F4" s="15">
        <v>1</v>
      </c>
      <c r="G4" s="16">
        <v>2016</v>
      </c>
      <c r="H4" s="17">
        <f>127200000+17045955</f>
        <v>144245955</v>
      </c>
      <c r="I4" s="18">
        <f t="shared" ref="I4:I9" si="0">H4*F4</f>
        <v>144245955</v>
      </c>
    </row>
    <row r="5" spans="1:11" x14ac:dyDescent="0.3">
      <c r="A5" s="12">
        <v>2</v>
      </c>
      <c r="B5" s="13"/>
      <c r="C5" s="13"/>
      <c r="D5" s="14" t="s">
        <v>12</v>
      </c>
      <c r="E5" s="14"/>
      <c r="F5" s="15">
        <v>1</v>
      </c>
      <c r="G5" s="16">
        <v>2016</v>
      </c>
      <c r="H5" s="17">
        <v>277832224</v>
      </c>
      <c r="I5" s="18">
        <f t="shared" si="0"/>
        <v>277832224</v>
      </c>
    </row>
    <row r="6" spans="1:11" x14ac:dyDescent="0.3">
      <c r="A6" s="12">
        <v>3</v>
      </c>
      <c r="B6" s="13"/>
      <c r="C6" s="13"/>
      <c r="D6" s="19" t="s">
        <v>13</v>
      </c>
      <c r="E6" s="19"/>
      <c r="F6" s="20">
        <v>1</v>
      </c>
      <c r="G6" s="16">
        <v>2016</v>
      </c>
      <c r="H6" s="17">
        <f>175600000+23531994</f>
        <v>199131994</v>
      </c>
      <c r="I6" s="18">
        <f t="shared" si="0"/>
        <v>199131994</v>
      </c>
    </row>
    <row r="7" spans="1:11" ht="115.2" x14ac:dyDescent="0.3">
      <c r="A7" s="12">
        <v>4</v>
      </c>
      <c r="B7" s="13"/>
      <c r="C7" s="13"/>
      <c r="D7" s="21" t="s">
        <v>14</v>
      </c>
      <c r="E7" s="21"/>
      <c r="F7" s="22">
        <v>1</v>
      </c>
      <c r="G7" s="16">
        <v>2016</v>
      </c>
      <c r="H7" s="17">
        <f>110000000+14740999</f>
        <v>124740999</v>
      </c>
      <c r="I7" s="18">
        <f t="shared" si="0"/>
        <v>124740999</v>
      </c>
    </row>
    <row r="8" spans="1:11" x14ac:dyDescent="0.3">
      <c r="A8" s="12">
        <v>5</v>
      </c>
      <c r="B8" s="13"/>
      <c r="C8" s="13"/>
      <c r="D8" s="19" t="s">
        <v>15</v>
      </c>
      <c r="E8" s="19" t="s">
        <v>16</v>
      </c>
      <c r="F8" s="20">
        <v>1</v>
      </c>
      <c r="G8" s="16">
        <v>2016</v>
      </c>
      <c r="H8" s="17">
        <f>24000000+3216218</f>
        <v>27216218</v>
      </c>
      <c r="I8" s="18">
        <f t="shared" si="0"/>
        <v>27216218</v>
      </c>
    </row>
    <row r="9" spans="1:11" x14ac:dyDescent="0.3">
      <c r="A9" s="12">
        <v>6</v>
      </c>
      <c r="B9" s="13"/>
      <c r="C9" s="13"/>
      <c r="D9" s="14" t="s">
        <v>17</v>
      </c>
      <c r="E9" s="14" t="s">
        <v>18</v>
      </c>
      <c r="F9" s="15">
        <v>1</v>
      </c>
      <c r="G9" s="16">
        <v>2016</v>
      </c>
      <c r="H9" s="17">
        <f>122250000+16382610</f>
        <v>138632610</v>
      </c>
      <c r="I9" s="18">
        <f t="shared" si="0"/>
        <v>138632610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2019-02-28T02:48:14Z</dcterms:created>
  <dcterms:modified xsi:type="dcterms:W3CDTF">2019-02-28T02:53:22Z</dcterms:modified>
</cp:coreProperties>
</file>