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"/>
    </mc:Choice>
  </mc:AlternateContent>
  <xr:revisionPtr revIDLastSave="0" documentId="8_{4DD2EB1E-3C48-481D-8557-6EB05A0819AF}" xr6:coauthVersionLast="40" xr6:coauthVersionMax="40" xr10:uidLastSave="{00000000-0000-0000-0000-000000000000}"/>
  <bookViews>
    <workbookView xWindow="-108" yWindow="-108" windowWidth="23256" windowHeight="12720" xr2:uid="{F2B0E2BF-75A2-45F1-94F0-77B9380D76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2" i="1" l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3" i="1" s="1"/>
  <c r="H3" i="1"/>
  <c r="G3" i="1"/>
  <c r="F3" i="1"/>
</calcChain>
</file>

<file path=xl/sharedStrings.xml><?xml version="1.0" encoding="utf-8"?>
<sst xmlns="http://schemas.openxmlformats.org/spreadsheetml/2006/main" count="61" uniqueCount="45">
  <si>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</si>
  <si>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</si>
  <si>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</si>
  <si>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</si>
  <si>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</si>
  <si>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</si>
  <si>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</si>
  <si>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</si>
  <si>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</si>
  <si>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Kabupaten Manokwari</t>
  </si>
  <si>
    <t>Radio Komunikasi (Fix)</t>
  </si>
  <si>
    <t>Radio SSB</t>
  </si>
  <si>
    <t>Icom IC-718</t>
  </si>
  <si>
    <t>Repeater</t>
  </si>
  <si>
    <t>Icom IC-FR5000</t>
  </si>
  <si>
    <t>Radio RIG VHF</t>
  </si>
  <si>
    <t>Icom IC-2300H</t>
  </si>
  <si>
    <t>Handy Talky (HT)</t>
  </si>
  <si>
    <t>Icom IC-V88</t>
  </si>
  <si>
    <t>Power Supply</t>
  </si>
  <si>
    <t>Alinco DM-330 MVT</t>
  </si>
  <si>
    <t>Antena Repeater</t>
  </si>
  <si>
    <t>Bluesky BS15060/70/74</t>
  </si>
  <si>
    <t>Antena Omnidirectional</t>
  </si>
  <si>
    <t>Diamond F23H</t>
  </si>
  <si>
    <t>Antena HF</t>
  </si>
  <si>
    <t xml:space="preserve">Tower </t>
  </si>
  <si>
    <t xml:space="preserve">Genset </t>
  </si>
  <si>
    <t>Honda EG6500CXS</t>
  </si>
  <si>
    <t xml:space="preserve">UPS </t>
  </si>
  <si>
    <t>APC SMT1500i</t>
  </si>
  <si>
    <t>Kabel Coaxial Repeater</t>
  </si>
  <si>
    <t>Belden 9913</t>
  </si>
  <si>
    <t>Kabel Coaxial HF</t>
  </si>
  <si>
    <t>Kabel Coaxial Rig</t>
  </si>
  <si>
    <t>Radio Komunikasi (Portabel)</t>
  </si>
  <si>
    <t>RIG VHF</t>
  </si>
  <si>
    <t>Alinco DM-340MVT</t>
  </si>
  <si>
    <t>Antena omnidirectional</t>
  </si>
  <si>
    <t>Antena Yagi</t>
  </si>
  <si>
    <t xml:space="preserve">Tower Portable </t>
  </si>
  <si>
    <t>Hardcase</t>
  </si>
  <si>
    <t>Pelican IM2875</t>
  </si>
  <si>
    <t>Honda EU221</t>
  </si>
  <si>
    <t>Kabel Coaxial VHF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</si>
</sst>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7" fillId="0" borderId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164" fontId="2" fillId="0" borderId="3" xfId="1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164" fontId="3" fillId="0" borderId="5" xfId="1" applyNumberFormat="1" applyFont="1" applyBorder="1" applyAlignment="1">
      <alignment horizontal="center" vertical="center" wrapText="1"/>
    </xf>
    <xf numFmtId="164" fontId="3" fillId="0" borderId="6" xfId="1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/>
    <xf numFmtId="0" fontId="5" fillId="0" borderId="5" xfId="0" applyFont="1" applyBorder="1"/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164" fontId="4" fillId="0" borderId="5" xfId="1" applyNumberFormat="1" applyFont="1" applyBorder="1"/>
    <xf numFmtId="164" fontId="4" fillId="0" borderId="6" xfId="1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top" wrapText="1"/>
    </xf>
    <xf numFmtId="41" fontId="4" fillId="0" borderId="5" xfId="2" applyFont="1" applyBorder="1"/>
    <xf numFmtId="0" fontId="4" fillId="0" borderId="5" xfId="0" applyFont="1" applyBorder="1" applyAlignment="1">
      <alignment horizontal="center" wrapText="1"/>
    </xf>
    <xf numFmtId="0" fontId="8" fillId="0" borderId="5" xfId="3" applyFont="1" applyBorder="1" applyAlignment="1">
      <alignment horizontal="center" vertical="center"/>
    </xf>
    <xf numFmtId="0" fontId="5" fillId="0" borderId="5" xfId="0" applyFont="1" applyBorder="1" applyAlignment="1">
      <alignment wrapText="1"/>
    </xf>
    <xf numFmtId="0" fontId="4" fillId="0" borderId="5" xfId="0" applyFont="1" applyBorder="1" applyAlignment="1">
      <alignment horizontal="left"/>
    </xf>
    <xf numFmtId="0" fontId="5" fillId="0" borderId="5" xfId="0" applyFont="1" applyBorder="1" applyAlignment="1">
      <alignment horizontal="left" vertical="top"/>
    </xf>
    <xf numFmtId="41" fontId="9" fillId="0" borderId="5" xfId="2" applyFont="1" applyBorder="1" applyAlignment="1">
      <alignment vertical="center"/>
    </xf>
    <xf numFmtId="0" fontId="4" fillId="0" borderId="5" xfId="0" applyFont="1" applyBorder="1" applyAlignment="1">
      <alignment vertical="top" wrapText="1"/>
    </xf>
  </cellXfs>
  <cellStyles count="4">
    <cellStyle name="Comma" xfId="1" builtinId="3"/>
    <cellStyle name="Comma [0]" xfId="2" builtinId="6"/>
    <cellStyle name="Normal" xfId="0" builtinId="0"/>
    <cellStyle name="Normal 4" xfId="3" xr:uid="{5E40B2F9-EC01-4B2F-AD29-D6D2A6F52D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32A04-DE2B-4071-AAB1-9A17B36E6949}">
  <dimension ref="A1:I32"/>
  <sheetViews>
    <sheetView tabSelected="1" workbookViewId="0">
      <selection activeCell="K5" sqref="K5"/>
    </sheetView>
  </sheetViews>
  <sheetFormatPr defaultRowHeight="14.4" x14ac:dyDescent="0.3"/>
  <cols>
    <col min="2" max="2" width="13.6640625" bestFit="1" customWidth="1"/>
    <col min="4" max="4" width="31.44140625" bestFit="1" customWidth="1"/>
    <col min="5" max="5" width="24.77734375" bestFit="1" customWidth="1"/>
    <col min="8" max="9" width="15" bestFit="1" customWidth="1"/>
  </cols>
  <sheetData>
    <row r="1" spans="1:9" ht="15" thickBot="1" x14ac:dyDescent="0.35"/>
    <row r="2" spans="1:9" ht="42" thickBot="1" x14ac:dyDescent="0.35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5" t="s">
        <v>8</v>
      </c>
    </row>
    <row r="3" spans="1:9" ht="16.2" thickTop="1" x14ac:dyDescent="0.3">
      <c r="A3" s="6" t="s">
        <v>9</v>
      </c>
      <c r="B3" s="7"/>
      <c r="C3" s="7"/>
      <c r="D3" s="7"/>
      <c r="E3" s="7"/>
      <c r="F3" s="8">
        <f>SUM(F4:F32)</f>
        <v>46</v>
      </c>
      <c r="G3" s="8">
        <f>G5</f>
        <v>2018</v>
      </c>
      <c r="H3" s="9">
        <f>SUM(H4:H32)</f>
        <v>504270209.22413778</v>
      </c>
      <c r="I3" s="10">
        <f>SUM(I4:I32)</f>
        <v>556065399.99999988</v>
      </c>
    </row>
    <row r="4" spans="1:9" ht="15.6" x14ac:dyDescent="0.3">
      <c r="A4" s="11"/>
      <c r="B4" s="12"/>
      <c r="C4" s="12"/>
      <c r="D4" s="13" t="s">
        <v>10</v>
      </c>
      <c r="E4" s="14"/>
      <c r="F4" s="15"/>
      <c r="G4" s="16"/>
      <c r="H4" s="17"/>
      <c r="I4" s="18"/>
    </row>
    <row r="5" spans="1:9" ht="30" x14ac:dyDescent="0.3">
      <c r="A5" s="11">
        <v>1</v>
      </c>
      <c r="B5" s="12"/>
      <c r="C5" s="12"/>
      <c r="D5" s="19" t="s">
        <v>11</v>
      </c>
      <c r="E5" s="20" t="s">
        <v>12</v>
      </c>
      <c r="F5" s="20">
        <v>1</v>
      </c>
      <c r="G5" s="16">
        <v>2018</v>
      </c>
      <c r="H5" s="21">
        <v>21806267.241379313</v>
      </c>
      <c r="I5" s="18">
        <f>H5*F5</f>
        <v>21806267.241379313</v>
      </c>
    </row>
    <row r="6" spans="1:9" ht="30" x14ac:dyDescent="0.3">
      <c r="A6" s="11">
        <v>2</v>
      </c>
      <c r="B6" s="12"/>
      <c r="C6" s="12"/>
      <c r="D6" s="19" t="s">
        <v>13</v>
      </c>
      <c r="E6" s="20" t="s">
        <v>14</v>
      </c>
      <c r="F6" s="20">
        <v>1</v>
      </c>
      <c r="G6" s="16">
        <v>2018</v>
      </c>
      <c r="H6" s="21">
        <v>48882382.399425291</v>
      </c>
      <c r="I6" s="18">
        <f t="shared" ref="I6:I32" si="0">H6*F6</f>
        <v>48882382.399425291</v>
      </c>
    </row>
    <row r="7" spans="1:9" ht="30" x14ac:dyDescent="0.3">
      <c r="A7" s="11">
        <v>3</v>
      </c>
      <c r="B7" s="12"/>
      <c r="C7" s="12"/>
      <c r="D7" s="19" t="s">
        <v>15</v>
      </c>
      <c r="E7" s="20" t="s">
        <v>16</v>
      </c>
      <c r="F7" s="20">
        <v>1</v>
      </c>
      <c r="G7" s="16">
        <v>2018</v>
      </c>
      <c r="H7" s="21">
        <v>4906410.1293103453</v>
      </c>
      <c r="I7" s="18">
        <f t="shared" si="0"/>
        <v>4906410.1293103453</v>
      </c>
    </row>
    <row r="8" spans="1:9" ht="30.6" x14ac:dyDescent="0.3">
      <c r="A8" s="11">
        <v>4</v>
      </c>
      <c r="B8" s="12"/>
      <c r="C8" s="12"/>
      <c r="D8" s="19" t="s">
        <v>17</v>
      </c>
      <c r="E8" s="22" t="s">
        <v>18</v>
      </c>
      <c r="F8" s="20">
        <v>20</v>
      </c>
      <c r="G8" s="16">
        <v>2018</v>
      </c>
      <c r="H8" s="21">
        <v>2726062.6724137934</v>
      </c>
      <c r="I8" s="18">
        <f t="shared" si="0"/>
        <v>54521253.448275864</v>
      </c>
    </row>
    <row r="9" spans="1:9" ht="45" x14ac:dyDescent="0.3">
      <c r="A9" s="11">
        <v>5</v>
      </c>
      <c r="B9" s="12"/>
      <c r="C9" s="12"/>
      <c r="D9" s="19" t="s">
        <v>19</v>
      </c>
      <c r="E9" s="20" t="s">
        <v>20</v>
      </c>
      <c r="F9" s="20">
        <v>1</v>
      </c>
      <c r="G9" s="16">
        <v>2018</v>
      </c>
      <c r="H9" s="21">
        <v>5451566.8103448283</v>
      </c>
      <c r="I9" s="18">
        <f t="shared" si="0"/>
        <v>5451566.8103448283</v>
      </c>
    </row>
    <row r="10" spans="1:9" ht="15.6" x14ac:dyDescent="0.3">
      <c r="A10" s="11">
        <v>6</v>
      </c>
      <c r="B10" s="12"/>
      <c r="C10" s="12"/>
      <c r="D10" s="19" t="s">
        <v>21</v>
      </c>
      <c r="E10" s="23" t="s">
        <v>22</v>
      </c>
      <c r="F10" s="20">
        <v>1</v>
      </c>
      <c r="G10" s="16">
        <v>2018</v>
      </c>
      <c r="H10" s="21">
        <v>29983617.456896551</v>
      </c>
      <c r="I10" s="18">
        <f t="shared" si="0"/>
        <v>29983617.456896551</v>
      </c>
    </row>
    <row r="11" spans="1:9" ht="30" x14ac:dyDescent="0.3">
      <c r="A11" s="11">
        <v>7</v>
      </c>
      <c r="B11" s="12"/>
      <c r="C11" s="12"/>
      <c r="D11" s="19" t="s">
        <v>23</v>
      </c>
      <c r="E11" s="20" t="s">
        <v>24</v>
      </c>
      <c r="F11" s="20">
        <v>1</v>
      </c>
      <c r="G11" s="16">
        <v>2018</v>
      </c>
      <c r="H11" s="21">
        <v>5088129.0229885057</v>
      </c>
      <c r="I11" s="18">
        <f t="shared" si="0"/>
        <v>5088129.0229885057</v>
      </c>
    </row>
    <row r="12" spans="1:9" ht="15.6" x14ac:dyDescent="0.3">
      <c r="A12" s="11">
        <v>8</v>
      </c>
      <c r="B12" s="12"/>
      <c r="C12" s="12"/>
      <c r="D12" s="19" t="s">
        <v>25</v>
      </c>
      <c r="E12" s="20"/>
      <c r="F12" s="20">
        <v>1</v>
      </c>
      <c r="G12" s="16">
        <v>2018</v>
      </c>
      <c r="H12" s="21">
        <v>5269847.916666666</v>
      </c>
      <c r="I12" s="18">
        <f t="shared" si="0"/>
        <v>5269847.916666666</v>
      </c>
    </row>
    <row r="13" spans="1:9" ht="15.6" x14ac:dyDescent="0.3">
      <c r="A13" s="11">
        <v>9</v>
      </c>
      <c r="B13" s="12"/>
      <c r="C13" s="12"/>
      <c r="D13" s="19" t="s">
        <v>26</v>
      </c>
      <c r="E13" s="24"/>
      <c r="F13" s="20">
        <v>1</v>
      </c>
      <c r="G13" s="16">
        <v>2018</v>
      </c>
      <c r="H13" s="21">
        <v>109031336.20689654</v>
      </c>
      <c r="I13" s="18">
        <f t="shared" si="0"/>
        <v>109031336.20689654</v>
      </c>
    </row>
    <row r="14" spans="1:9" ht="45" x14ac:dyDescent="0.3">
      <c r="A14" s="11">
        <v>10</v>
      </c>
      <c r="B14" s="12"/>
      <c r="C14" s="12"/>
      <c r="D14" s="19" t="s">
        <v>27</v>
      </c>
      <c r="E14" s="20" t="s">
        <v>28</v>
      </c>
      <c r="F14" s="20">
        <v>1</v>
      </c>
      <c r="G14" s="16">
        <v>2018</v>
      </c>
      <c r="H14" s="21">
        <v>50881290.229885049</v>
      </c>
      <c r="I14" s="18">
        <f t="shared" si="0"/>
        <v>50881290.229885049</v>
      </c>
    </row>
    <row r="15" spans="1:9" ht="45" x14ac:dyDescent="0.3">
      <c r="A15" s="11">
        <v>11</v>
      </c>
      <c r="B15" s="12"/>
      <c r="C15" s="12"/>
      <c r="D15" s="19" t="s">
        <v>29</v>
      </c>
      <c r="E15" s="20" t="s">
        <v>30</v>
      </c>
      <c r="F15" s="20">
        <v>1</v>
      </c>
      <c r="G15" s="16">
        <v>2018</v>
      </c>
      <c r="H15" s="21">
        <v>16172981.537356323</v>
      </c>
      <c r="I15" s="18">
        <f t="shared" si="0"/>
        <v>16172981.537356323</v>
      </c>
    </row>
    <row r="16" spans="1:9" ht="30" x14ac:dyDescent="0.3">
      <c r="A16" s="11">
        <v>12</v>
      </c>
      <c r="B16" s="12"/>
      <c r="C16" s="12"/>
      <c r="D16" s="25" t="s">
        <v>31</v>
      </c>
      <c r="E16" s="20" t="s">
        <v>32</v>
      </c>
      <c r="F16" s="20">
        <v>1</v>
      </c>
      <c r="G16" s="16">
        <v>2018</v>
      </c>
      <c r="H16" s="21">
        <v>6178442.3850574708</v>
      </c>
      <c r="I16" s="18">
        <f t="shared" si="0"/>
        <v>6178442.3850574708</v>
      </c>
    </row>
    <row r="17" spans="1:9" ht="30" x14ac:dyDescent="0.3">
      <c r="A17" s="11">
        <v>13</v>
      </c>
      <c r="B17" s="12"/>
      <c r="C17" s="12"/>
      <c r="D17" s="19" t="s">
        <v>33</v>
      </c>
      <c r="E17" s="20" t="s">
        <v>32</v>
      </c>
      <c r="F17" s="20">
        <v>1</v>
      </c>
      <c r="G17" s="16">
        <v>2018</v>
      </c>
      <c r="H17" s="21">
        <v>6178442.3850574708</v>
      </c>
      <c r="I17" s="18">
        <f t="shared" si="0"/>
        <v>6178442.3850574708</v>
      </c>
    </row>
    <row r="18" spans="1:9" ht="30" x14ac:dyDescent="0.3">
      <c r="A18" s="11">
        <v>14</v>
      </c>
      <c r="B18" s="12"/>
      <c r="C18" s="12"/>
      <c r="D18" s="19" t="s">
        <v>34</v>
      </c>
      <c r="E18" s="20" t="s">
        <v>32</v>
      </c>
      <c r="F18" s="20">
        <v>1</v>
      </c>
      <c r="G18" s="16">
        <v>2018</v>
      </c>
      <c r="H18" s="21">
        <v>6178442.3850574708</v>
      </c>
      <c r="I18" s="18">
        <f t="shared" si="0"/>
        <v>6178442.3850574708</v>
      </c>
    </row>
    <row r="19" spans="1:9" ht="15.6" x14ac:dyDescent="0.3">
      <c r="A19" s="11"/>
      <c r="B19" s="12"/>
      <c r="C19" s="12"/>
      <c r="D19" s="26" t="s">
        <v>35</v>
      </c>
      <c r="E19" s="12"/>
      <c r="F19" s="20"/>
      <c r="G19" s="16">
        <v>2018</v>
      </c>
      <c r="H19" s="27"/>
      <c r="I19" s="18">
        <f t="shared" si="0"/>
        <v>0</v>
      </c>
    </row>
    <row r="20" spans="1:9" ht="30" x14ac:dyDescent="0.3">
      <c r="A20" s="11">
        <v>15</v>
      </c>
      <c r="B20" s="12"/>
      <c r="C20" s="12"/>
      <c r="D20" s="28" t="s">
        <v>11</v>
      </c>
      <c r="E20" s="20" t="s">
        <v>12</v>
      </c>
      <c r="F20" s="20">
        <v>1</v>
      </c>
      <c r="G20" s="16">
        <v>2018</v>
      </c>
      <c r="H20" s="21">
        <v>21806267.241379313</v>
      </c>
      <c r="I20" s="18">
        <f t="shared" si="0"/>
        <v>21806267.241379313</v>
      </c>
    </row>
    <row r="21" spans="1:9" ht="30" x14ac:dyDescent="0.3">
      <c r="A21" s="11">
        <v>16</v>
      </c>
      <c r="B21" s="12"/>
      <c r="C21" s="12"/>
      <c r="D21" s="28" t="s">
        <v>13</v>
      </c>
      <c r="E21" s="20" t="s">
        <v>14</v>
      </c>
      <c r="F21" s="20">
        <v>1</v>
      </c>
      <c r="G21" s="16">
        <v>2018</v>
      </c>
      <c r="H21" s="21">
        <v>48882382.399425291</v>
      </c>
      <c r="I21" s="18">
        <f t="shared" si="0"/>
        <v>48882382.399425291</v>
      </c>
    </row>
    <row r="22" spans="1:9" ht="30" x14ac:dyDescent="0.3">
      <c r="A22" s="11">
        <v>17</v>
      </c>
      <c r="B22" s="12"/>
      <c r="C22" s="12"/>
      <c r="D22" s="28" t="s">
        <v>36</v>
      </c>
      <c r="E22" s="20" t="s">
        <v>16</v>
      </c>
      <c r="F22" s="20">
        <v>1</v>
      </c>
      <c r="G22" s="16">
        <v>2018</v>
      </c>
      <c r="H22" s="21">
        <v>4906410.1293103453</v>
      </c>
      <c r="I22" s="18">
        <f t="shared" si="0"/>
        <v>4906410.1293103453</v>
      </c>
    </row>
    <row r="23" spans="1:9" ht="60" x14ac:dyDescent="0.3">
      <c r="A23" s="11">
        <v>18</v>
      </c>
      <c r="B23" s="12"/>
      <c r="C23" s="12"/>
      <c r="D23" s="28" t="s">
        <v>19</v>
      </c>
      <c r="E23" s="20" t="s">
        <v>37</v>
      </c>
      <c r="F23" s="20">
        <v>1</v>
      </c>
      <c r="G23" s="16">
        <v>2018</v>
      </c>
      <c r="H23" s="21">
        <v>6360161.2787356311</v>
      </c>
      <c r="I23" s="18">
        <f t="shared" si="0"/>
        <v>6360161.2787356311</v>
      </c>
    </row>
    <row r="24" spans="1:9" ht="30" x14ac:dyDescent="0.3">
      <c r="A24" s="11">
        <v>19</v>
      </c>
      <c r="B24" s="12"/>
      <c r="C24" s="12"/>
      <c r="D24" s="28" t="s">
        <v>25</v>
      </c>
      <c r="E24" s="20"/>
      <c r="F24" s="20">
        <v>1</v>
      </c>
      <c r="G24" s="16">
        <v>2018</v>
      </c>
      <c r="H24" s="21">
        <v>5269847.916666666</v>
      </c>
      <c r="I24" s="18">
        <f t="shared" si="0"/>
        <v>5269847.916666666</v>
      </c>
    </row>
    <row r="25" spans="1:9" ht="45" x14ac:dyDescent="0.3">
      <c r="A25" s="11">
        <v>20</v>
      </c>
      <c r="B25" s="12"/>
      <c r="C25" s="12"/>
      <c r="D25" s="28" t="s">
        <v>38</v>
      </c>
      <c r="E25" s="20" t="s">
        <v>24</v>
      </c>
      <c r="F25" s="20">
        <v>1</v>
      </c>
      <c r="G25" s="16">
        <v>2018</v>
      </c>
      <c r="H25" s="21">
        <v>5088129.0229885057</v>
      </c>
      <c r="I25" s="18">
        <f t="shared" si="0"/>
        <v>5088129.0229885057</v>
      </c>
    </row>
    <row r="26" spans="1:9" ht="30" x14ac:dyDescent="0.3">
      <c r="A26" s="11">
        <v>21</v>
      </c>
      <c r="B26" s="12"/>
      <c r="C26" s="12"/>
      <c r="D26" s="28" t="s">
        <v>39</v>
      </c>
      <c r="E26" s="20"/>
      <c r="F26" s="20">
        <v>1</v>
      </c>
      <c r="G26" s="16">
        <v>2018</v>
      </c>
      <c r="H26" s="21">
        <v>5088129.0229885057</v>
      </c>
      <c r="I26" s="18">
        <f t="shared" si="0"/>
        <v>5088129.0229885057</v>
      </c>
    </row>
    <row r="27" spans="1:9" ht="45" x14ac:dyDescent="0.3">
      <c r="A27" s="11">
        <v>22</v>
      </c>
      <c r="B27" s="12"/>
      <c r="C27" s="12"/>
      <c r="D27" s="28" t="s">
        <v>40</v>
      </c>
      <c r="E27" s="20"/>
      <c r="F27" s="20">
        <v>1</v>
      </c>
      <c r="G27" s="16">
        <v>2018</v>
      </c>
      <c r="H27" s="21">
        <v>9994539.1522988509</v>
      </c>
      <c r="I27" s="18">
        <f t="shared" si="0"/>
        <v>9994539.1522988509</v>
      </c>
    </row>
    <row r="28" spans="1:9" ht="30" x14ac:dyDescent="0.3">
      <c r="A28" s="11">
        <v>23</v>
      </c>
      <c r="B28" s="12"/>
      <c r="C28" s="12"/>
      <c r="D28" s="28" t="s">
        <v>41</v>
      </c>
      <c r="E28" s="20" t="s">
        <v>42</v>
      </c>
      <c r="F28" s="20">
        <v>1</v>
      </c>
      <c r="G28" s="16">
        <v>2018</v>
      </c>
      <c r="H28" s="21">
        <v>17808451.58045977</v>
      </c>
      <c r="I28" s="18">
        <f t="shared" si="0"/>
        <v>17808451.58045977</v>
      </c>
    </row>
    <row r="29" spans="1:9" ht="30" x14ac:dyDescent="0.3">
      <c r="A29" s="11">
        <v>24</v>
      </c>
      <c r="B29" s="12"/>
      <c r="C29" s="12"/>
      <c r="D29" s="28" t="s">
        <v>27</v>
      </c>
      <c r="E29" s="20" t="s">
        <v>43</v>
      </c>
      <c r="F29" s="20">
        <v>1</v>
      </c>
      <c r="G29" s="16">
        <v>2018</v>
      </c>
      <c r="H29" s="21">
        <v>41795345.545977011</v>
      </c>
      <c r="I29" s="18">
        <f t="shared" si="0"/>
        <v>41795345.545977011</v>
      </c>
    </row>
    <row r="30" spans="1:9" ht="45" x14ac:dyDescent="0.3">
      <c r="A30" s="11">
        <v>25</v>
      </c>
      <c r="B30" s="12"/>
      <c r="C30" s="12"/>
      <c r="D30" s="28" t="s">
        <v>33</v>
      </c>
      <c r="E30" s="20" t="s">
        <v>32</v>
      </c>
      <c r="F30" s="20">
        <v>1</v>
      </c>
      <c r="G30" s="16">
        <v>2018</v>
      </c>
      <c r="H30" s="21">
        <v>6178442.3850574708</v>
      </c>
      <c r="I30" s="18">
        <f t="shared" si="0"/>
        <v>6178442.3850574708</v>
      </c>
    </row>
    <row r="31" spans="1:9" ht="45" x14ac:dyDescent="0.3">
      <c r="A31" s="11">
        <v>26</v>
      </c>
      <c r="B31" s="12"/>
      <c r="C31" s="12"/>
      <c r="D31" s="28" t="s">
        <v>44</v>
      </c>
      <c r="E31" s="20" t="s">
        <v>32</v>
      </c>
      <c r="F31" s="20">
        <v>1</v>
      </c>
      <c r="G31" s="16">
        <v>2018</v>
      </c>
      <c r="H31" s="21">
        <v>6178442.3850574708</v>
      </c>
      <c r="I31" s="18">
        <f t="shared" si="0"/>
        <v>6178442.3850574708</v>
      </c>
    </row>
    <row r="32" spans="1:9" ht="60" x14ac:dyDescent="0.3">
      <c r="A32" s="11">
        <v>27</v>
      </c>
      <c r="B32" s="12"/>
      <c r="C32" s="12"/>
      <c r="D32" s="28" t="s">
        <v>31</v>
      </c>
      <c r="E32" s="20" t="s">
        <v>32</v>
      </c>
      <c r="F32" s="20">
        <v>1</v>
      </c>
      <c r="G32" s="16">
        <v>2018</v>
      </c>
      <c r="H32" s="21">
        <v>6178442.3850574708</v>
      </c>
      <c r="I32" s="18">
        <f t="shared" si="0"/>
        <v>6178442.3850574708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2019-02-28T01:53:04Z</dcterms:created>
  <dcterms:modified xsi:type="dcterms:W3CDTF">2019-02-28T02:01:58Z</dcterms:modified>
</cp:coreProperties>
</file>