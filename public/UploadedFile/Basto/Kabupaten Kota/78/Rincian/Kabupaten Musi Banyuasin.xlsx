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FA98B30F-88A4-488F-991B-252584B63833}" xr6:coauthVersionLast="40" xr6:coauthVersionMax="40" xr10:uidLastSave="{00000000-0000-0000-0000-000000000000}"/>
  <bookViews>
    <workbookView xWindow="-108" yWindow="-108" windowWidth="23256" windowHeight="12720" xr2:uid="{0357E225-0C52-48E6-A037-A49D770C79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K3" i="1" s="1"/>
  <c r="H3" i="1"/>
  <c r="G3" i="1"/>
  <c r="F3" i="1"/>
</calcChain>
</file>

<file path=xl/sharedStrings.xml><?xml version="1.0" encoding="utf-8"?>
<sst xmlns="http://schemas.openxmlformats.org/spreadsheetml/2006/main" count="69" uniqueCount="68">
  <si>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</si>
  <si>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</si>
  <si>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</si>
  <si>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</si>
  <si>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</si>
  <si>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</si>
  <si>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</si>
  <si>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</si>
  <si>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</si>
  <si>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MUSI BANYUASIN</t>
  </si>
  <si>
    <t>Pusdalops Uk. 6 m x 4 m</t>
  </si>
  <si>
    <t xml:space="preserve">Peralatan TIK </t>
  </si>
  <si>
    <t>Perangkat Display</t>
  </si>
  <si>
    <t>Infocus Mondopad INF-5720</t>
  </si>
  <si>
    <t>Stand Floor</t>
  </si>
  <si>
    <t>Mobile Stand Floor 57</t>
  </si>
  <si>
    <t>Software Interaktif Board</t>
  </si>
  <si>
    <t>Infocus Big Note</t>
  </si>
  <si>
    <t>Wireless Presentasi Sistem</t>
  </si>
  <si>
    <t>Realcam PTZ</t>
  </si>
  <si>
    <t>Infocus INF-SPTZ-2</t>
  </si>
  <si>
    <t>Radio SSB</t>
  </si>
  <si>
    <t>Radio Komunikasi</t>
  </si>
  <si>
    <t>Icom IC-718</t>
  </si>
  <si>
    <t>Power Supply untuk Radio SSB</t>
  </si>
  <si>
    <t>Antenna Radio</t>
  </si>
  <si>
    <t>Kenpro KA-50+Coaxial Cable (15m)</t>
  </si>
  <si>
    <t>Server Data</t>
  </si>
  <si>
    <t>Server</t>
  </si>
  <si>
    <t>ML-150 G9</t>
  </si>
  <si>
    <t>Router</t>
  </si>
  <si>
    <t>Mikrotik Routerboard RB201 1UiAS-2HnD-IN Sfp Port plus 10 Port Ethernet</t>
  </si>
  <si>
    <t>Swich</t>
  </si>
  <si>
    <t>TP-Link TL-SG1024</t>
  </si>
  <si>
    <t>Stabilizer</t>
  </si>
  <si>
    <t>ICA FR 5000</t>
  </si>
  <si>
    <t>Windows Server OS</t>
  </si>
  <si>
    <t>Windows Server OS 2012 R2</t>
  </si>
  <si>
    <t>UPS</t>
  </si>
  <si>
    <t>Emerson Liebert GXT3-3000RT230</t>
  </si>
  <si>
    <t>PC</t>
  </si>
  <si>
    <t>Dell 3900MT Core i7 4790</t>
  </si>
  <si>
    <t>Laptop</t>
  </si>
  <si>
    <t>HP 14-AC135TX</t>
  </si>
  <si>
    <t>GPS</t>
  </si>
  <si>
    <t>Garmin Oregon 650</t>
  </si>
  <si>
    <t>Televisi 43</t>
  </si>
  <si>
    <t>LG TV 43'' LH540T</t>
  </si>
  <si>
    <t>Fax Machine/Telp</t>
  </si>
  <si>
    <t>Panasonic KX-FL612CX</t>
  </si>
  <si>
    <t>Genset</t>
  </si>
  <si>
    <t>Kipor KDE6700T1&amp;T3</t>
  </si>
  <si>
    <t>Printer</t>
  </si>
  <si>
    <t>HP Laserjet Pro P1102</t>
  </si>
  <si>
    <t>APC BX1100CI</t>
  </si>
  <si>
    <t>Frameless Glassboard</t>
  </si>
  <si>
    <t>-</t>
  </si>
  <si>
    <t>MS Office</t>
  </si>
  <si>
    <t>Microsoft Office Home &amp; Business 2016</t>
  </si>
  <si>
    <t>AC 2 Pk Non Inverter</t>
  </si>
  <si>
    <t xml:space="preserve">Meja Operator </t>
  </si>
  <si>
    <t>Knock down,drawer,multipleks lapis HPL,vynil,Uk. 140x70x75 cm</t>
  </si>
  <si>
    <t xml:space="preserve">Kabinet Operator </t>
  </si>
  <si>
    <t>knockdown,drawer,multipleks lapis HPL &amp; vynil, roda uk. 60x40x60 cm</t>
  </si>
  <si>
    <t>Credenza</t>
  </si>
  <si>
    <t>Knockdown, Multipleks lapis HPL, &amp; vynil , metal stand uk.100 x50x220 cm</t>
  </si>
  <si>
    <t xml:space="preserve">Kursi Operator </t>
  </si>
  <si>
    <t>Ergonomic, foam, steel 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</si>
</sst>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4" fillId="2" borderId="0" xfId="0" applyFont="1" applyFill="1"/>
    <xf numFmtId="164" fontId="4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/>
    <xf numFmtId="164" fontId="0" fillId="0" borderId="5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164" fontId="0" fillId="0" borderId="7" xfId="1" applyNumberFormat="1" applyFont="1" applyBorder="1"/>
    <xf numFmtId="164" fontId="0" fillId="0" borderId="8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B423-B57C-41E4-9CD5-7F8A25277951}">
  <dimension ref="A1:K37"/>
  <sheetViews>
    <sheetView tabSelected="1" workbookViewId="0">
      <selection activeCell="O9" sqref="O9"/>
    </sheetView>
  </sheetViews>
  <sheetFormatPr defaultRowHeight="14.4" x14ac:dyDescent="0.3"/>
  <cols>
    <col min="2" max="2" width="11.6640625" bestFit="1" customWidth="1"/>
    <col min="4" max="4" width="25.77734375" bestFit="1" customWidth="1"/>
    <col min="5" max="5" width="12.5546875" customWidth="1"/>
    <col min="7" max="7" width="10.77734375" customWidth="1"/>
    <col min="8" max="9" width="15.21875" bestFit="1" customWidth="1"/>
    <col min="11" max="11" width="15.21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SUM(F4:F37)</f>
        <v>44</v>
      </c>
      <c r="G3" s="7">
        <f>G4</f>
        <v>2017</v>
      </c>
      <c r="H3" s="8">
        <f>SUM(H4:H37)</f>
        <v>1208673040.7384129</v>
      </c>
      <c r="I3" s="9">
        <f>SUM(I4:I37)</f>
        <v>1427489800.0836964</v>
      </c>
      <c r="J3" s="10"/>
      <c r="K3" s="11">
        <f>I3</f>
        <v>1427489800.0836964</v>
      </c>
    </row>
    <row r="4" spans="1:11" x14ac:dyDescent="0.3">
      <c r="A4" s="12">
        <v>1</v>
      </c>
      <c r="B4" s="13"/>
      <c r="C4" s="13"/>
      <c r="D4" s="13" t="s">
        <v>10</v>
      </c>
      <c r="E4" s="13"/>
      <c r="F4" s="14">
        <v>1</v>
      </c>
      <c r="G4" s="15">
        <v>2017</v>
      </c>
      <c r="H4" s="16">
        <v>221433720.93179601</v>
      </c>
      <c r="I4" s="17">
        <f>H4*F4</f>
        <v>221433720.93179601</v>
      </c>
    </row>
    <row r="5" spans="1:11" x14ac:dyDescent="0.3">
      <c r="A5" s="12">
        <v>2</v>
      </c>
      <c r="B5" s="13"/>
      <c r="C5" s="13"/>
      <c r="D5" s="13" t="s">
        <v>11</v>
      </c>
      <c r="E5" s="13"/>
      <c r="F5" s="14"/>
      <c r="G5" s="15">
        <v>2017</v>
      </c>
      <c r="H5" s="13"/>
      <c r="I5" s="17">
        <f>H5*F5</f>
        <v>0</v>
      </c>
    </row>
    <row r="6" spans="1:11" x14ac:dyDescent="0.3">
      <c r="A6" s="12">
        <v>3</v>
      </c>
      <c r="B6" s="13"/>
      <c r="C6" s="13"/>
      <c r="D6" s="13" t="s">
        <v>12</v>
      </c>
      <c r="E6" s="13"/>
      <c r="F6" s="14"/>
      <c r="G6" s="15">
        <v>2017</v>
      </c>
      <c r="H6" s="13"/>
      <c r="I6" s="17">
        <f>H6*F6</f>
        <v>0</v>
      </c>
    </row>
    <row r="7" spans="1:11" ht="57.6" x14ac:dyDescent="0.3">
      <c r="A7" s="12">
        <v>4</v>
      </c>
      <c r="B7" s="13"/>
      <c r="C7" s="13"/>
      <c r="D7" s="18">
        <v>65</v>
      </c>
      <c r="E7" s="19" t="s">
        <v>13</v>
      </c>
      <c r="F7" s="14">
        <v>1</v>
      </c>
      <c r="G7" s="15">
        <v>2017</v>
      </c>
      <c r="H7" s="16">
        <v>576124801</v>
      </c>
      <c r="I7" s="17">
        <f>H7*F7</f>
        <v>576124801</v>
      </c>
    </row>
    <row r="8" spans="1:11" ht="43.2" x14ac:dyDescent="0.3">
      <c r="A8" s="12">
        <v>5</v>
      </c>
      <c r="B8" s="13"/>
      <c r="C8" s="13"/>
      <c r="D8" s="13" t="s">
        <v>14</v>
      </c>
      <c r="E8" s="19" t="s">
        <v>15</v>
      </c>
      <c r="F8" s="14"/>
      <c r="G8" s="15">
        <v>2017</v>
      </c>
      <c r="H8" s="16"/>
      <c r="I8" s="17">
        <f>H8*F8</f>
        <v>0</v>
      </c>
    </row>
    <row r="9" spans="1:11" ht="28.8" x14ac:dyDescent="0.3">
      <c r="A9" s="12">
        <v>6</v>
      </c>
      <c r="B9" s="13"/>
      <c r="C9" s="13"/>
      <c r="D9" s="13" t="s">
        <v>16</v>
      </c>
      <c r="E9" s="19" t="s">
        <v>17</v>
      </c>
      <c r="F9" s="14"/>
      <c r="G9" s="15">
        <v>2017</v>
      </c>
      <c r="H9" s="16"/>
      <c r="I9" s="17">
        <f>H9*F9</f>
        <v>0</v>
      </c>
    </row>
    <row r="10" spans="1:11" x14ac:dyDescent="0.3">
      <c r="A10" s="12">
        <v>7</v>
      </c>
      <c r="B10" s="13"/>
      <c r="C10" s="13"/>
      <c r="D10" s="13" t="s">
        <v>18</v>
      </c>
      <c r="E10" s="19"/>
      <c r="F10" s="14"/>
      <c r="G10" s="15">
        <v>2017</v>
      </c>
      <c r="H10" s="16"/>
      <c r="I10" s="17">
        <f>H10*F10</f>
        <v>0</v>
      </c>
    </row>
    <row r="11" spans="1:11" ht="43.2" x14ac:dyDescent="0.3">
      <c r="A11" s="12">
        <v>8</v>
      </c>
      <c r="B11" s="13"/>
      <c r="C11" s="13"/>
      <c r="D11" s="13" t="s">
        <v>19</v>
      </c>
      <c r="E11" s="19" t="s">
        <v>20</v>
      </c>
      <c r="F11" s="14"/>
      <c r="G11" s="15">
        <v>2017</v>
      </c>
      <c r="H11" s="16"/>
      <c r="I11" s="17">
        <f>H11*F11</f>
        <v>0</v>
      </c>
    </row>
    <row r="12" spans="1:11" x14ac:dyDescent="0.3">
      <c r="A12" s="12">
        <v>9</v>
      </c>
      <c r="B12" s="13"/>
      <c r="C12" s="13"/>
      <c r="D12" s="13" t="s">
        <v>21</v>
      </c>
      <c r="E12" s="19"/>
      <c r="F12" s="14">
        <v>1</v>
      </c>
      <c r="G12" s="15">
        <v>2017</v>
      </c>
      <c r="H12" s="16">
        <v>25480029</v>
      </c>
      <c r="I12" s="17">
        <f>H12*F12</f>
        <v>25480029</v>
      </c>
    </row>
    <row r="13" spans="1:11" ht="28.8" x14ac:dyDescent="0.3">
      <c r="A13" s="12">
        <v>10</v>
      </c>
      <c r="B13" s="13"/>
      <c r="C13" s="13"/>
      <c r="D13" s="13" t="s">
        <v>22</v>
      </c>
      <c r="E13" s="19" t="s">
        <v>23</v>
      </c>
      <c r="F13" s="14"/>
      <c r="G13" s="15">
        <v>2017</v>
      </c>
      <c r="H13" s="16"/>
      <c r="I13" s="17">
        <f>H13*F13</f>
        <v>0</v>
      </c>
    </row>
    <row r="14" spans="1:11" x14ac:dyDescent="0.3">
      <c r="A14" s="12">
        <v>11</v>
      </c>
      <c r="B14" s="13"/>
      <c r="C14" s="13"/>
      <c r="D14" s="13" t="s">
        <v>24</v>
      </c>
      <c r="E14" s="19"/>
      <c r="F14" s="14"/>
      <c r="G14" s="15">
        <v>2017</v>
      </c>
      <c r="H14" s="16"/>
      <c r="I14" s="17">
        <f>H14*F14</f>
        <v>0</v>
      </c>
    </row>
    <row r="15" spans="1:11" ht="72" x14ac:dyDescent="0.3">
      <c r="A15" s="12">
        <v>12</v>
      </c>
      <c r="B15" s="13"/>
      <c r="C15" s="13"/>
      <c r="D15" s="13" t="s">
        <v>25</v>
      </c>
      <c r="E15" s="19" t="s">
        <v>26</v>
      </c>
      <c r="F15" s="14"/>
      <c r="G15" s="15">
        <v>2017</v>
      </c>
      <c r="H15" s="16"/>
      <c r="I15" s="17">
        <f>H15*F15</f>
        <v>0</v>
      </c>
    </row>
    <row r="16" spans="1:11" x14ac:dyDescent="0.3">
      <c r="A16" s="12">
        <v>13</v>
      </c>
      <c r="B16" s="13"/>
      <c r="C16" s="13"/>
      <c r="D16" s="13" t="s">
        <v>27</v>
      </c>
      <c r="E16" s="19"/>
      <c r="F16" s="14">
        <v>1</v>
      </c>
      <c r="G16" s="15">
        <v>2017</v>
      </c>
      <c r="H16" s="16">
        <v>235746754</v>
      </c>
      <c r="I16" s="17">
        <f>H16*F16</f>
        <v>235746754</v>
      </c>
    </row>
    <row r="17" spans="1:9" ht="28.8" x14ac:dyDescent="0.3">
      <c r="A17" s="12">
        <v>14</v>
      </c>
      <c r="B17" s="13"/>
      <c r="C17" s="13"/>
      <c r="D17" s="13" t="s">
        <v>28</v>
      </c>
      <c r="E17" s="19" t="s">
        <v>29</v>
      </c>
      <c r="F17" s="14"/>
      <c r="G17" s="15">
        <v>2017</v>
      </c>
      <c r="H17" s="16"/>
      <c r="I17" s="17">
        <f>H17*F17</f>
        <v>0</v>
      </c>
    </row>
    <row r="18" spans="1:9" ht="144" x14ac:dyDescent="0.3">
      <c r="A18" s="12">
        <v>15</v>
      </c>
      <c r="B18" s="13"/>
      <c r="C18" s="13"/>
      <c r="D18" s="13" t="s">
        <v>30</v>
      </c>
      <c r="E18" s="19" t="s">
        <v>31</v>
      </c>
      <c r="F18" s="14"/>
      <c r="G18" s="15">
        <v>2017</v>
      </c>
      <c r="H18" s="16"/>
      <c r="I18" s="17">
        <f>H18*F18</f>
        <v>0</v>
      </c>
    </row>
    <row r="19" spans="1:9" ht="43.2" x14ac:dyDescent="0.3">
      <c r="A19" s="12">
        <v>16</v>
      </c>
      <c r="B19" s="13"/>
      <c r="C19" s="13"/>
      <c r="D19" s="13" t="s">
        <v>32</v>
      </c>
      <c r="E19" s="19" t="s">
        <v>33</v>
      </c>
      <c r="F19" s="14"/>
      <c r="G19" s="15">
        <v>2017</v>
      </c>
      <c r="H19" s="16"/>
      <c r="I19" s="17">
        <f>H19*F19</f>
        <v>0</v>
      </c>
    </row>
    <row r="20" spans="1:9" ht="28.8" x14ac:dyDescent="0.3">
      <c r="A20" s="12">
        <v>17</v>
      </c>
      <c r="B20" s="13"/>
      <c r="C20" s="13"/>
      <c r="D20" s="13" t="s">
        <v>34</v>
      </c>
      <c r="E20" s="19" t="s">
        <v>35</v>
      </c>
      <c r="F20" s="14"/>
      <c r="G20" s="15">
        <v>2017</v>
      </c>
      <c r="H20" s="16"/>
      <c r="I20" s="17">
        <f>H20*F20</f>
        <v>0</v>
      </c>
    </row>
    <row r="21" spans="1:9" ht="43.2" x14ac:dyDescent="0.3">
      <c r="A21" s="12">
        <v>18</v>
      </c>
      <c r="B21" s="13"/>
      <c r="C21" s="13"/>
      <c r="D21" s="13" t="s">
        <v>36</v>
      </c>
      <c r="E21" s="19" t="s">
        <v>37</v>
      </c>
      <c r="F21" s="14"/>
      <c r="G21" s="15">
        <v>2017</v>
      </c>
      <c r="H21" s="16"/>
      <c r="I21" s="17">
        <f>H21*F21</f>
        <v>0</v>
      </c>
    </row>
    <row r="22" spans="1:9" ht="72" x14ac:dyDescent="0.3">
      <c r="A22" s="12">
        <v>19</v>
      </c>
      <c r="B22" s="13"/>
      <c r="C22" s="13"/>
      <c r="D22" s="13" t="s">
        <v>38</v>
      </c>
      <c r="E22" s="19" t="s">
        <v>39</v>
      </c>
      <c r="F22" s="14"/>
      <c r="G22" s="15">
        <v>2017</v>
      </c>
      <c r="H22" s="16"/>
      <c r="I22" s="17">
        <f>H22*F22</f>
        <v>0</v>
      </c>
    </row>
    <row r="23" spans="1:9" ht="57.6" x14ac:dyDescent="0.3">
      <c r="A23" s="12">
        <v>20</v>
      </c>
      <c r="B23" s="13"/>
      <c r="C23" s="13"/>
      <c r="D23" s="13" t="s">
        <v>40</v>
      </c>
      <c r="E23" s="19" t="s">
        <v>41</v>
      </c>
      <c r="F23" s="14">
        <v>4</v>
      </c>
      <c r="G23" s="15">
        <v>2017</v>
      </c>
      <c r="H23" s="16">
        <v>21408245.316099752</v>
      </c>
      <c r="I23" s="17">
        <f>H23*F23</f>
        <v>85632981.264399007</v>
      </c>
    </row>
    <row r="24" spans="1:9" ht="28.8" x14ac:dyDescent="0.3">
      <c r="A24" s="12">
        <v>21</v>
      </c>
      <c r="B24" s="13"/>
      <c r="C24" s="13"/>
      <c r="D24" s="13" t="s">
        <v>42</v>
      </c>
      <c r="E24" s="19" t="s">
        <v>43</v>
      </c>
      <c r="F24" s="14">
        <v>2</v>
      </c>
      <c r="G24" s="15">
        <v>2017</v>
      </c>
      <c r="H24" s="16">
        <v>10013777.036341691</v>
      </c>
      <c r="I24" s="17">
        <f>H24*F24</f>
        <v>20027554.072683383</v>
      </c>
    </row>
    <row r="25" spans="1:9" ht="43.2" x14ac:dyDescent="0.3">
      <c r="A25" s="12">
        <v>22</v>
      </c>
      <c r="B25" s="13"/>
      <c r="C25" s="13"/>
      <c r="D25" s="13" t="s">
        <v>44</v>
      </c>
      <c r="E25" s="19" t="s">
        <v>45</v>
      </c>
      <c r="F25" s="14">
        <v>2</v>
      </c>
      <c r="G25" s="15">
        <v>2017</v>
      </c>
      <c r="H25" s="16">
        <v>7531043.1459075147</v>
      </c>
      <c r="I25" s="17">
        <f>H25*F25</f>
        <v>15062086.291815029</v>
      </c>
    </row>
    <row r="26" spans="1:9" ht="43.2" x14ac:dyDescent="0.3">
      <c r="A26" s="12">
        <v>23</v>
      </c>
      <c r="B26" s="13"/>
      <c r="C26" s="13"/>
      <c r="D26" s="13" t="s">
        <v>46</v>
      </c>
      <c r="E26" s="19" t="s">
        <v>47</v>
      </c>
      <c r="F26" s="14">
        <v>1</v>
      </c>
      <c r="G26" s="15">
        <v>2017</v>
      </c>
      <c r="H26" s="16">
        <v>9915873.4754448924</v>
      </c>
      <c r="I26" s="17">
        <f>H26*F26</f>
        <v>9915873.4754448924</v>
      </c>
    </row>
    <row r="27" spans="1:9" ht="43.2" x14ac:dyDescent="0.3">
      <c r="A27" s="12">
        <v>24</v>
      </c>
      <c r="B27" s="13"/>
      <c r="C27" s="13"/>
      <c r="D27" s="13" t="s">
        <v>48</v>
      </c>
      <c r="E27" s="19" t="s">
        <v>49</v>
      </c>
      <c r="F27" s="14">
        <v>1</v>
      </c>
      <c r="G27" s="15">
        <v>2017</v>
      </c>
      <c r="H27" s="16">
        <v>5397247.5879003843</v>
      </c>
      <c r="I27" s="17">
        <f>H27*F27</f>
        <v>5397247.5879003843</v>
      </c>
    </row>
    <row r="28" spans="1:9" ht="43.2" x14ac:dyDescent="0.3">
      <c r="A28" s="12">
        <v>25</v>
      </c>
      <c r="B28" s="13"/>
      <c r="C28" s="13"/>
      <c r="D28" s="13" t="s">
        <v>50</v>
      </c>
      <c r="E28" s="19" t="s">
        <v>51</v>
      </c>
      <c r="F28" s="14">
        <v>1</v>
      </c>
      <c r="G28" s="15">
        <v>2017</v>
      </c>
      <c r="H28" s="16">
        <v>27613824.868327554</v>
      </c>
      <c r="I28" s="17">
        <f>H28*F28</f>
        <v>27613824.868327554</v>
      </c>
    </row>
    <row r="29" spans="1:9" ht="57.6" x14ac:dyDescent="0.3">
      <c r="A29" s="12">
        <v>26</v>
      </c>
      <c r="B29" s="13"/>
      <c r="C29" s="13"/>
      <c r="D29" s="13" t="s">
        <v>52</v>
      </c>
      <c r="E29" s="19" t="s">
        <v>53</v>
      </c>
      <c r="F29" s="14">
        <v>1</v>
      </c>
      <c r="G29" s="15">
        <v>2017</v>
      </c>
      <c r="H29" s="16">
        <v>6903456.2170818886</v>
      </c>
      <c r="I29" s="17">
        <f>H29*F29</f>
        <v>6903456.2170818886</v>
      </c>
    </row>
    <row r="30" spans="1:9" ht="28.8" x14ac:dyDescent="0.3">
      <c r="A30" s="12">
        <v>27</v>
      </c>
      <c r="B30" s="13"/>
      <c r="C30" s="13"/>
      <c r="D30" s="13" t="s">
        <v>38</v>
      </c>
      <c r="E30" s="19" t="s">
        <v>54</v>
      </c>
      <c r="F30" s="14">
        <v>1</v>
      </c>
      <c r="G30" s="15">
        <v>2017</v>
      </c>
      <c r="H30" s="16">
        <v>3451728.1085409443</v>
      </c>
      <c r="I30" s="17">
        <f>H30*F30</f>
        <v>3451728.1085409443</v>
      </c>
    </row>
    <row r="31" spans="1:9" x14ac:dyDescent="0.3">
      <c r="A31" s="12">
        <v>28</v>
      </c>
      <c r="B31" s="13"/>
      <c r="C31" s="13"/>
      <c r="D31" s="13" t="s">
        <v>55</v>
      </c>
      <c r="E31" s="19" t="s">
        <v>56</v>
      </c>
      <c r="F31" s="14">
        <v>1</v>
      </c>
      <c r="G31" s="15">
        <v>2017</v>
      </c>
      <c r="H31" s="16">
        <v>5648282.3594306353</v>
      </c>
      <c r="I31" s="17">
        <f>H31*F31</f>
        <v>5648282.3594306353</v>
      </c>
    </row>
    <row r="32" spans="1:9" ht="72" x14ac:dyDescent="0.3">
      <c r="A32" s="12">
        <v>29</v>
      </c>
      <c r="B32" s="13"/>
      <c r="C32" s="13"/>
      <c r="D32" s="13" t="s">
        <v>57</v>
      </c>
      <c r="E32" s="19" t="s">
        <v>58</v>
      </c>
      <c r="F32" s="14">
        <v>6</v>
      </c>
      <c r="G32" s="15">
        <v>2017</v>
      </c>
      <c r="H32" s="16">
        <v>5899317.1309608864</v>
      </c>
      <c r="I32" s="17">
        <f>H32*F32</f>
        <v>35395902.78576532</v>
      </c>
    </row>
    <row r="33" spans="1:9" x14ac:dyDescent="0.3">
      <c r="A33" s="12">
        <v>30</v>
      </c>
      <c r="B33" s="13"/>
      <c r="C33" s="13"/>
      <c r="D33" s="13" t="s">
        <v>59</v>
      </c>
      <c r="E33" s="19"/>
      <c r="F33" s="14">
        <v>1</v>
      </c>
      <c r="G33" s="15">
        <v>2017</v>
      </c>
      <c r="H33" s="16">
        <v>14040674.028703</v>
      </c>
      <c r="I33" s="17">
        <f>H33*F33</f>
        <v>14040674.028703</v>
      </c>
    </row>
    <row r="34" spans="1:9" ht="129.6" x14ac:dyDescent="0.3">
      <c r="A34" s="12">
        <v>31</v>
      </c>
      <c r="B34" s="13"/>
      <c r="C34" s="13"/>
      <c r="D34" s="13" t="s">
        <v>60</v>
      </c>
      <c r="E34" s="19" t="s">
        <v>61</v>
      </c>
      <c r="F34" s="14">
        <v>6</v>
      </c>
      <c r="G34" s="15">
        <v>2017</v>
      </c>
      <c r="H34" s="16">
        <v>10554143.019892072</v>
      </c>
      <c r="I34" s="17">
        <f>H34*F34</f>
        <v>63324858.11935243</v>
      </c>
    </row>
    <row r="35" spans="1:9" ht="129.6" x14ac:dyDescent="0.3">
      <c r="A35" s="12">
        <v>32</v>
      </c>
      <c r="B35" s="13"/>
      <c r="C35" s="13"/>
      <c r="D35" s="13" t="s">
        <v>62</v>
      </c>
      <c r="E35" s="19" t="s">
        <v>63</v>
      </c>
      <c r="F35" s="14">
        <v>6</v>
      </c>
      <c r="G35" s="15">
        <v>2017</v>
      </c>
      <c r="H35" s="16">
        <v>6086655.8289411152</v>
      </c>
      <c r="I35" s="17">
        <f>H35*F35</f>
        <v>36519934.973646693</v>
      </c>
    </row>
    <row r="36" spans="1:9" ht="158.4" x14ac:dyDescent="0.3">
      <c r="A36" s="12">
        <v>33</v>
      </c>
      <c r="B36" s="13"/>
      <c r="C36" s="13"/>
      <c r="D36" s="13" t="s">
        <v>64</v>
      </c>
      <c r="E36" s="19" t="s">
        <v>65</v>
      </c>
      <c r="F36" s="14">
        <v>1</v>
      </c>
      <c r="G36" s="15">
        <v>2017</v>
      </c>
      <c r="H36" s="16">
        <v>10554143.01989207</v>
      </c>
      <c r="I36" s="17">
        <f>H36*F36</f>
        <v>10554143.01989207</v>
      </c>
    </row>
    <row r="37" spans="1:9" ht="43.8" thickBot="1" x14ac:dyDescent="0.35">
      <c r="A37" s="20">
        <v>34</v>
      </c>
      <c r="B37" s="21"/>
      <c r="C37" s="21"/>
      <c r="D37" s="21" t="s">
        <v>66</v>
      </c>
      <c r="E37" s="22" t="s">
        <v>67</v>
      </c>
      <c r="F37" s="23">
        <v>6</v>
      </c>
      <c r="G37" s="24">
        <v>2017</v>
      </c>
      <c r="H37" s="25">
        <v>4869324.6631528931</v>
      </c>
      <c r="I37" s="26">
        <f>H37*F37</f>
        <v>29215947.97891736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2019-02-28T03:53:55Z</dcterms:created>
  <dcterms:modified xsi:type="dcterms:W3CDTF">2019-02-28T03:59:25Z</dcterms:modified>
</cp:coreProperties>
</file>